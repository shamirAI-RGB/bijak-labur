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64"/>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Produk Kosmetik</t>
        </is>
      </c>
    </row>
    <row r="2">
      <c r="A2" t="inlineStr">
        <is>
          <t>Premis/syarikat: ______________________________   Jenis produk / no. notifikasi NPRA: 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Notifikasi NPRA &amp; Skop Permohonan</t>
        </is>
      </c>
      <c r="B6" s="5" t="n"/>
      <c r="C6" s="5" t="n"/>
      <c r="D6" s="5" t="n"/>
      <c r="E6" s="6" t="n"/>
    </row>
    <row r="7" ht="26" customHeight="1">
      <c r="A7" s="2" t="inlineStr">
        <is>
          <t>Semak dokumen pendaftaran, lesen, notifikasi NPRA dan skop produk dalam MYeHALAL, kemudian padankan dengan produk yang sebenarnya dikeluarkan di kilang.</t>
        </is>
      </c>
    </row>
    <row r="8">
      <c r="A8" s="7" t="inlineStr">
        <is>
          <t>A1</t>
        </is>
      </c>
      <c r="B8" s="7" t="inlineStr">
        <is>
          <t>Pendaftaran perniagaan (SSM, koperasi atau dokumen penubuhan) masih sah, dan nama serta alamatnya sama dengan permohonan SPHM.</t>
        </is>
      </c>
      <c r="C8" s="7" t="inlineStr">
        <is>
          <t>MPPHM 5(1)</t>
        </is>
      </c>
      <c r="D8" s="7" t="inlineStr"/>
      <c r="E8" s="7" t="inlineStr"/>
      <c r="F8" t="inlineStr">
        <is>
          <t>A</t>
        </is>
      </c>
    </row>
    <row r="9">
      <c r="A9" s="7" t="inlineStr">
        <is>
          <t>A2</t>
        </is>
      </c>
      <c r="B9" s="7" t="inlineStr">
        <is>
          <t>Lesen atau kelulusan PBT bagi premis kilang, atau surat sokongan agensi kerajaan yang berkaitan, masih sah dan sepadan dengan alamat kilang.</t>
        </is>
      </c>
      <c r="C9" s="7" t="inlineStr">
        <is>
          <t>MPPHM 5(2)</t>
        </is>
      </c>
      <c r="D9" s="7" t="inlineStr"/>
      <c r="E9" s="7" t="inlineStr"/>
      <c r="F9" t="inlineStr">
        <is>
          <t>A</t>
        </is>
      </c>
    </row>
    <row r="10">
      <c r="A10" s="7" t="inlineStr">
        <is>
          <t>A3</t>
        </is>
      </c>
      <c r="B10" s="7" t="inlineStr">
        <is>
          <t>Kilang telah beroperasi sepenuhnya sekurang-kurangnya 3 bulan sebelum memohon (pemohon baharu), atau sekurang-kurangnya 1 bulan di premis baharu (pindah premis).</t>
        </is>
      </c>
      <c r="C10" s="7" t="inlineStr">
        <is>
          <t>MPPHM 5(7), 5(8)</t>
        </is>
      </c>
      <c r="D10" s="7" t="inlineStr"/>
      <c r="E10" s="7" t="inlineStr"/>
      <c r="F10" t="inlineStr">
        <is>
          <t>A</t>
        </is>
      </c>
    </row>
    <row r="11">
      <c r="A11" s="7" t="inlineStr">
        <is>
          <t>A4</t>
        </is>
      </c>
      <c r="B11" s="7" t="inlineStr">
        <is>
          <t>Setiap produk kosmetik yang dipohon telah dinotifikasikan kepada NPRA, atau syarikat memegang surat kebenaran bertulis NPRA untuk mengilang produk kosmetik tidak bernotifikasi bagi tujuan eksport sahaja (FEO).</t>
        </is>
      </c>
      <c r="C11" s="7" t="inlineStr">
        <is>
          <t>MPPHM 18(2)(a); PKDK 1984 per. 18A(1)(a), 18A(3)(b); GKPK 7.3</t>
        </is>
      </c>
      <c r="D11" s="7" t="inlineStr"/>
      <c r="E11" s="7" t="inlineStr"/>
      <c r="F11" t="inlineStr">
        <is>
          <t>A</t>
        </is>
      </c>
    </row>
    <row r="12">
      <c r="A12" s="7" t="inlineStr">
        <is>
          <t>A5</t>
        </is>
      </c>
      <c r="B12" s="7" t="inlineStr">
        <is>
          <t>Dokumen 'Notification Detail(s)' daripada NPRA telah dikemukakan dalam permohonan bagi setiap produk kosmetik yang dipohon, termasuk setiap varian.</t>
        </is>
      </c>
      <c r="C12" s="7" t="inlineStr">
        <is>
          <t>MPPHM 18(2)(d)</t>
        </is>
      </c>
      <c r="D12" s="7" t="inlineStr"/>
      <c r="E12" s="7" t="inlineStr"/>
      <c r="F12" t="inlineStr">
        <is>
          <t>A</t>
        </is>
      </c>
    </row>
    <row r="13">
      <c r="A13" s="7" t="inlineStr">
        <is>
          <t>A6</t>
        </is>
      </c>
      <c r="B13" s="7" t="inlineStr">
        <is>
          <t>Notifikasi setiap produk masih sah (tempoh sah 2 tahun), dan pembaharuan dibuat tidak lewat 1 bulan sebelum tamat tempoh. Tiada produk yang nota notifikasinya telah dibatalkan oleh Pengarah.</t>
        </is>
      </c>
      <c r="C13" s="7" t="inlineStr">
        <is>
          <t>GKPK 2.7, 5.2; PKDK 1984 per. 18A(1)(g), 18A(8)</t>
        </is>
      </c>
      <c r="D13" s="7" t="inlineStr"/>
      <c r="E13" s="7" t="inlineStr"/>
      <c r="F13" t="inlineStr">
        <is>
          <t>A</t>
        </is>
      </c>
    </row>
    <row r="14">
      <c r="A14" s="7" t="inlineStr">
        <is>
          <t>A7</t>
        </is>
      </c>
      <c r="B14" s="7" t="inlineStr">
        <is>
          <t>Pemegang notifikasi kosmetik (CNH) ialah syarikat atau entiti tempatan yang berdaftar dengan SSM. Jika pemilik produk berbeza daripada CNH, surat kebenaran (LOA) tersedia.</t>
        </is>
      </c>
      <c r="C14" s="7" t="inlineStr">
        <is>
          <t>GKPK 2.1, Glosari; PKDK 1984 per. 18A(1)(b)</t>
        </is>
      </c>
      <c r="D14" s="7" t="inlineStr"/>
      <c r="E14" s="7" t="inlineStr"/>
      <c r="F14" t="inlineStr">
        <is>
          <t>A</t>
        </is>
      </c>
    </row>
    <row r="15">
      <c r="A15" s="7" t="inlineStr">
        <is>
          <t>A8</t>
        </is>
      </c>
      <c r="B15" s="7" t="inlineStr">
        <is>
          <t>Butiran dalam Notification Detail(s) (nama produk, varian, nama dan alamat pengilang) sepadan dengan premis yang diaudit dan senarai produk dalam MYeHALAL.</t>
        </is>
      </c>
      <c r="C15" s="7" t="inlineStr">
        <is>
          <t>MPPHM 18(2)(d), 17(2)(c)</t>
        </is>
      </c>
      <c r="D15" s="7" t="inlineStr"/>
      <c r="E15" s="7" t="inlineStr"/>
      <c r="F15" t="inlineStr">
        <is>
          <t>A</t>
        </is>
      </c>
    </row>
    <row r="16">
      <c r="A16" s="7" t="inlineStr">
        <is>
          <t>A9</t>
        </is>
      </c>
      <c r="B16" s="7" t="inlineStr">
        <is>
          <t>Perubahan pada produk bernotifikasi (cth. bahan, pengilang atau nama produk) telah dikemukakan kepada NPRA mengikut jenis perubahan, iaitu Jenis 1 (pindaan notifikasi) atau Jenis 2 (notifikasi baharu).</t>
        </is>
      </c>
      <c r="C16" s="7" t="inlineStr">
        <is>
          <t>GKPK 2.9, Annex I Part 5</t>
        </is>
      </c>
      <c r="D16" s="7" t="inlineStr"/>
      <c r="E16" s="7" t="inlineStr"/>
      <c r="F16" t="inlineStr">
        <is>
          <t>A</t>
        </is>
      </c>
    </row>
    <row r="17">
      <c r="A17" s="7" t="inlineStr">
        <is>
          <t>A10</t>
        </is>
      </c>
      <c r="B17" s="7" t="inlineStr">
        <is>
          <t>Produk FEO (jika ada): rekod dan dokumen disimpan dan sedia untuk pemeriksaan NPRA, dan keperluan negara penerima dipatuhi.</t>
        </is>
      </c>
      <c r="C17" s="7" t="inlineStr">
        <is>
          <t>GKPK 7.3</t>
        </is>
      </c>
      <c r="D17" s="7" t="inlineStr"/>
      <c r="E17" s="7" t="inlineStr"/>
      <c r="F17" t="inlineStr">
        <is>
          <t>A</t>
        </is>
      </c>
    </row>
    <row r="18">
      <c r="A18" s="7" t="inlineStr">
        <is>
          <t>A11</t>
        </is>
      </c>
      <c r="B18" s="7" t="inlineStr">
        <is>
          <t>Syarikat hanya mengeluarkan dan mengendalikan produk halal, termasuk produk dagangan, produk eksport dan produk yang dikilangkan untuk pihak lain. Tiada produk tidak halal dikeluarkan atau diedarkan.</t>
        </is>
      </c>
      <c r="C18" s="7" t="inlineStr">
        <is>
          <t>MPPHM 5(9), 6(1), 6(2)</t>
        </is>
      </c>
      <c r="D18" s="7" t="inlineStr"/>
      <c r="E18" s="7" t="inlineStr"/>
      <c r="F18" t="inlineStr">
        <is>
          <t>A</t>
        </is>
      </c>
    </row>
    <row r="19">
      <c r="A19" s="7" t="inlineStr">
        <is>
          <t>A12</t>
        </is>
      </c>
      <c r="B19" s="7" t="inlineStr">
        <is>
          <t>Jenama yang sama tidak digunakan bagi produk halal dan produk tidak halal.</t>
        </is>
      </c>
      <c r="C19" s="7" t="inlineStr">
        <is>
          <t>MPPHM 6(3)</t>
        </is>
      </c>
      <c r="D19" s="7" t="inlineStr"/>
      <c r="E19" s="7" t="inlineStr"/>
      <c r="F19" t="inlineStr">
        <is>
          <t>A</t>
        </is>
      </c>
    </row>
    <row r="20">
      <c r="A20" s="7" t="inlineStr">
        <is>
          <t>A13</t>
        </is>
      </c>
      <c r="B20" s="7" t="inlineStr">
        <is>
          <t>Semua produk kosmetik jenama sendiri yang masih dikeluarkan (termasuk setiap varian warna, haruman dan saiz) telah dipohon, tanpa produk yang tertinggal.</t>
        </is>
      </c>
      <c r="C20" s="7" t="inlineStr">
        <is>
          <t>MPPHM 5(10), 17(2)(b)</t>
        </is>
      </c>
      <c r="D20" s="7" t="inlineStr"/>
      <c r="E20" s="7" t="inlineStr"/>
      <c r="F20" t="inlineStr">
        <is>
          <t>A</t>
        </is>
      </c>
    </row>
    <row r="21">
      <c r="A21" s="7" t="inlineStr">
        <is>
          <t>A14</t>
        </is>
      </c>
      <c r="B21" s="7" t="inlineStr">
        <is>
          <t>Produk yang tidak dikeluarkan sepanjang tempoh sijil terdahulu telah dikeluarkan daripada senarai permohonan.</t>
        </is>
      </c>
      <c r="C21" s="7" t="inlineStr">
        <is>
          <t>MPPHM 17(2)(e)</t>
        </is>
      </c>
      <c r="D21" s="7" t="inlineStr"/>
      <c r="E21" s="7" t="inlineStr"/>
      <c r="F21" t="inlineStr">
        <is>
          <t>A</t>
        </is>
      </c>
    </row>
    <row r="22">
      <c r="A22" s="7" t="inlineStr">
        <is>
          <t>A15</t>
        </is>
      </c>
      <c r="B22" s="7" t="inlineStr">
        <is>
          <t>Pewarna kuku (kutek, termasuk yang didakwa 'breathable' atau telap air) dan pewarna rambut tidak dimasukkan dalam permohonan, dan tidak dilabel, diiklan atau dipromosikan sebagai halal.</t>
        </is>
      </c>
      <c r="C22" s="7" t="inlineStr">
        <is>
          <t>MPPHM 6(5); Perintah Perakuan &amp; Penandaan Halal 2011 perenggan 4(1)</t>
        </is>
      </c>
      <c r="D22" s="7" t="inlineStr"/>
      <c r="E22" s="7" t="inlineStr"/>
      <c r="F22" t="inlineStr">
        <is>
          <t>A</t>
        </is>
      </c>
    </row>
    <row r="23">
      <c r="A23" s="7" t="inlineStr">
        <is>
          <t>A16</t>
        </is>
      </c>
      <c r="B23" s="7" t="inlineStr">
        <is>
          <t>Tiada produk yang dikaitkan dengan khurafat, tahyul atau penipuan (cth. produk yang didakwa mempunyai kuasa pengasih atau perlindungan ghaib), dan tiada produk yang berimplikasi keagamaan negatif (cth. minyak atau wangian untuk upacara penyembahan).</t>
        </is>
      </c>
      <c r="C23" s="7" t="inlineStr">
        <is>
          <t>MPPHM 6(11), 17(3)(d)</t>
        </is>
      </c>
      <c r="D23" s="7" t="inlineStr"/>
      <c r="E23" s="7" t="inlineStr"/>
      <c r="F23" t="inlineStr">
        <is>
          <t>A</t>
        </is>
      </c>
    </row>
    <row r="24">
      <c r="A24" s="7" t="inlineStr">
        <is>
          <t>A17</t>
        </is>
      </c>
      <c r="B24" s="7" t="inlineStr">
        <is>
          <t>Nama produk tidak termasuk dalam kategori nama yang tidak dibenarkan NPRA, seperti nama bahan yang tiada dalam produk, nama penyakit atau organ dalaman, nama lucah, istilah tahyul ('saka', 'badi', 'jampi', 'susuk') atau istilah pelangsingan.</t>
        </is>
      </c>
      <c r="C24" s="7" t="inlineStr">
        <is>
          <t>GKPK Annex I Part 2</t>
        </is>
      </c>
      <c r="D24" s="7" t="inlineStr"/>
      <c r="E24" s="7" t="inlineStr"/>
      <c r="F24" t="inlineStr">
        <is>
          <t>A</t>
        </is>
      </c>
    </row>
    <row r="25">
      <c r="A25" s="7" t="inlineStr">
        <is>
          <t>A18</t>
        </is>
      </c>
      <c r="B25" s="7" t="inlineStr">
        <is>
          <t>Nama syarikat, jenama, produk dan bahan tidak menggunakan perkataan 'halal', dan tidak merujuk kepada produk tidak halal atau menggunakan nama yang mengelirukan (cth. 'beer', 'rum', 'wine', 'sake').</t>
        </is>
      </c>
      <c r="C25" s="7" t="inlineStr">
        <is>
          <t>MPPHM 5(12), 6(7), Lampiran A</t>
        </is>
      </c>
      <c r="D25" s="7" t="inlineStr"/>
      <c r="E25" s="7" t="inlineStr"/>
      <c r="F25" t="inlineStr">
        <is>
          <t>A</t>
        </is>
      </c>
    </row>
    <row r="26">
      <c r="A26" s="7" t="inlineStr">
        <is>
          <t>A19</t>
        </is>
      </c>
      <c r="B26" s="7" t="inlineStr">
        <is>
          <t>Produk siap, sama ada keluaran dalam atau luar negara, yang hanya dilabel semula tanpa menjalani sebarang proses di Malaysia tidak dipohon.</t>
        </is>
      </c>
      <c r="C26" s="7" t="inlineStr">
        <is>
          <t>MPPHM 6(8)</t>
        </is>
      </c>
      <c r="D26" s="7" t="inlineStr"/>
      <c r="E26" s="7" t="inlineStr"/>
      <c r="F26" t="inlineStr">
        <is>
          <t>A</t>
        </is>
      </c>
    </row>
    <row r="27">
      <c r="A27" s="7" t="inlineStr">
        <is>
          <t>A20</t>
        </is>
      </c>
      <c r="B27" s="7" t="inlineStr">
        <is>
          <t>Produk yang dibungkus semula daripada pukal (jika ada, cth. minyak wangi atau losyen pukal) mempunyai sijil halal yang sah bagi produk asal dan dokumen sumber yang jelas.</t>
        </is>
      </c>
      <c r="C27" s="7" t="inlineStr">
        <is>
          <t>MPPHM 5(11)</t>
        </is>
      </c>
      <c r="D27" s="7" t="inlineStr"/>
      <c r="E27" s="7" t="inlineStr"/>
      <c r="F27" t="inlineStr">
        <is>
          <t>A</t>
        </is>
      </c>
    </row>
    <row r="28">
      <c r="A28" s="7" t="inlineStr">
        <is>
          <t>A21</t>
        </is>
      </c>
      <c r="B28" s="7" t="inlineStr">
        <is>
          <t>Produk baharu hasil R&amp;D yang dipohon sudah sedia dikomersialkan: bahannya tersedia untuk diperiksa, tiada perubahan bahan atau bungkusan, ujian larian (trial run) telah dibuat, dan kelulusan pengurusan ada. Produk yang belum dikomersialkan tidak dipohon.</t>
        </is>
      </c>
      <c r="C28" s="7" t="inlineStr">
        <is>
          <t>MPPHM 17(2)(h), 6(10)</t>
        </is>
      </c>
      <c r="D28" s="7" t="inlineStr"/>
      <c r="E28" s="7" t="inlineStr"/>
      <c r="F28" t="inlineStr">
        <is>
          <t>A</t>
        </is>
      </c>
    </row>
    <row r="29">
      <c r="A29" s="7" t="inlineStr">
        <is>
          <t>A22</t>
        </is>
      </c>
      <c r="B29" s="7" t="inlineStr">
        <is>
          <t>Pengilangan kontrak: jika syarikat mengupah pengilang lain untuk mengeluarkan produknya, pengilang itu memegang SPHM skim Pengilangan Kontrak/OEM yang sah.</t>
        </is>
      </c>
      <c r="C29" s="7" t="inlineStr">
        <is>
          <t>MPPHM 17(17)(b)</t>
        </is>
      </c>
      <c r="D29" s="7" t="inlineStr"/>
      <c r="E29" s="7" t="inlineStr"/>
      <c r="F29" t="inlineStr">
        <is>
          <t>A</t>
        </is>
      </c>
    </row>
    <row r="30">
      <c r="A30" s="7" t="inlineStr">
        <is>
          <t>A23</t>
        </is>
      </c>
      <c r="B30" s="7" t="inlineStr">
        <is>
          <t>Pengilangan kontrak: jika kilang turut mengilang kosmetik untuk jenama pihak lain, kilang telah memegang SPHM skim Pengilangan Kontrak/OEM yang sah sebelum menawarkan perkhidmatan itu.</t>
        </is>
      </c>
      <c r="C30" s="7" t="inlineStr">
        <is>
          <t>MPPHM 17(17)(a)</t>
        </is>
      </c>
      <c r="D30" s="7" t="inlineStr"/>
      <c r="E30" s="7" t="inlineStr"/>
      <c r="F30" t="inlineStr">
        <is>
          <t>A</t>
        </is>
      </c>
    </row>
    <row r="31">
      <c r="A31" s="4" t="inlineStr">
        <is>
          <t>Bahagian B: Pengurusan Halal, Pekerja Muslim &amp; MHMS mengikut Saiz Industri</t>
        </is>
      </c>
      <c r="B31" s="5" t="n"/>
      <c r="C31" s="5" t="n"/>
      <c r="D31" s="5" t="n"/>
      <c r="E31" s="6" t="n"/>
    </row>
    <row r="32" ht="26" customHeight="1">
      <c r="A32" s="2" t="inlineStr">
        <is>
          <t>Semak manual HAS atau IHCS, surat lantikan, jadual syif, minit JKHD, laporan audit dalaman dan semakan HAS, kemudian sahkan melalui temu bual dengan pengurusan, Eksekutif atau Penyelia Halal dan pekerja.</t>
        </is>
      </c>
    </row>
    <row r="33">
      <c r="A33" s="7" t="inlineStr">
        <is>
          <t>B1</t>
        </is>
      </c>
      <c r="B33" s="7" t="inlineStr">
        <is>
          <t>Kategori industri ditentukan dengan betul berdasarkan nilai perolehan tahunan untuk menentukan sama ada HAS atau IHCS diperlukan. Kategorinya ialah mikro (kurang daripada RM300,000), kecil (RM300,000 hingga kurang daripada RM15 juta), sederhana (RM15 juta hingga RM50 juta) dan besar (melebihi RM50 juta).</t>
        </is>
      </c>
      <c r="C33" s="7" t="inlineStr">
        <is>
          <t>MPPHM 8 (Jadual 1), 18(2)(e)</t>
        </is>
      </c>
      <c r="D33" s="7" t="inlineStr"/>
      <c r="E33" s="7" t="inlineStr"/>
      <c r="F33" t="inlineStr">
        <is>
          <t>B</t>
        </is>
      </c>
    </row>
    <row r="34">
      <c r="A34" s="7" t="inlineStr">
        <is>
          <t>B2</t>
        </is>
      </c>
      <c r="B34" s="7" t="inlineStr">
        <is>
          <t>Pengurusan atasan menunjukkan komitmen terhadap halal dan integriti halal: tanggungjawab halal ditetapkan, dan sumber kewangan, infrastruktur serta tenaga kerja yang mencukupi disediakan.</t>
        </is>
      </c>
      <c r="C34" s="7" t="inlineStr">
        <is>
          <t>MS 2634 kl. 4.1*</t>
        </is>
      </c>
      <c r="D34" s="7" t="inlineStr"/>
      <c r="E34" s="7" t="inlineStr"/>
      <c r="F34" t="inlineStr">
        <is>
          <t>B</t>
        </is>
      </c>
    </row>
    <row r="35">
      <c r="A35" s="7" t="inlineStr">
        <is>
          <t>B3</t>
        </is>
      </c>
      <c r="B35" s="7" t="inlineStr">
        <is>
          <t>Polisi halal bertulis diluluskan pengurusan atasan, dipamerkan dan disebarkan kepada pekerja dan pihak berkepentingan. Pekerja yang ditemu bual dapat menerangkannya.</t>
        </is>
      </c>
      <c r="C35" s="7" t="inlineStr">
        <is>
          <t>MHMS 5(2), 6(1); MS 2634 kl. 4.1*</t>
        </is>
      </c>
      <c r="D35" s="7" t="inlineStr"/>
      <c r="E35" s="7" t="inlineStr"/>
      <c r="F35" t="inlineStr">
        <is>
          <t>B</t>
        </is>
      </c>
    </row>
    <row r="36">
      <c r="A36" s="7" t="inlineStr">
        <is>
          <t>B4</t>
        </is>
      </c>
      <c r="B36" s="7" t="inlineStr">
        <is>
          <t>Besar/sederhana: sekurang-kurangnya 2 pekerja Muslim warganegara Malaysia berjawatan tetap (tidak termasuk Eksekutif Halal) dilantik dan bertugas di kawasan pemprosesan sepanjang tempoh operasi atau setiap syif.</t>
        </is>
      </c>
      <c r="C36" s="7" t="inlineStr">
        <is>
          <t>MPPHM 18(2)(e)(i), 3</t>
        </is>
      </c>
      <c r="D36" s="7" t="inlineStr"/>
      <c r="E36" s="7" t="inlineStr"/>
      <c r="F36" t="inlineStr">
        <is>
          <t>B</t>
        </is>
      </c>
    </row>
    <row r="37">
      <c r="A37" s="7" t="inlineStr">
        <is>
          <t>B5</t>
        </is>
      </c>
      <c r="B37" s="7" t="inlineStr">
        <is>
          <t>Kecil/mikro: sekurang-kurangnya 1 pekerja Muslim warganegara Malaysia berjawatan tetap (tidak termasuk Penyelia Halal) dilantik dan bertugas di kawasan pemprosesan sepanjang tempoh operasi atau setiap syif.</t>
        </is>
      </c>
      <c r="C37" s="7" t="inlineStr">
        <is>
          <t>MPPHM 18(2)(e)(ii), 18(2)(e)(iii), 3</t>
        </is>
      </c>
      <c r="D37" s="7" t="inlineStr"/>
      <c r="E37" s="7" t="inlineStr"/>
      <c r="F37" t="inlineStr">
        <is>
          <t>B</t>
        </is>
      </c>
    </row>
    <row r="38">
      <c r="A38" s="7" t="inlineStr">
        <is>
          <t>B6</t>
        </is>
      </c>
      <c r="B38" s="7" t="inlineStr">
        <is>
          <t>Pekerja Muslim yang dilantik hadir dan bertugas di kawasan pemprosesan semasa audit, dan surat lantikan tetap serta salinan MyKad mereka tersedia.</t>
        </is>
      </c>
      <c r="C38" s="7" t="inlineStr">
        <is>
          <t>MPPHM 17(9)(a), 18(2)(e)</t>
        </is>
      </c>
      <c r="D38" s="7" t="inlineStr"/>
      <c r="E38" s="7" t="inlineStr"/>
      <c r="F38" t="inlineStr">
        <is>
          <t>B</t>
        </is>
      </c>
    </row>
    <row r="39">
      <c r="A39" s="7" t="inlineStr">
        <is>
          <t>B7</t>
        </is>
      </c>
      <c r="B39" s="7" t="inlineStr">
        <is>
          <t>Besar/sederhana: Eksekutif Halal dilantik secara rasmi dan bertulis oleh pengurusan tertinggi bagi setiap cawangan premis.</t>
        </is>
      </c>
      <c r="C39" s="7" t="inlineStr">
        <is>
          <t>MPPHM 18(2)(e)(i); MHMS 5(3), 7(1)(a)(iii)</t>
        </is>
      </c>
      <c r="D39" s="7" t="inlineStr"/>
      <c r="E39" s="7" t="inlineStr"/>
      <c r="F39" t="inlineStr">
        <is>
          <t>B</t>
        </is>
      </c>
    </row>
    <row r="40">
      <c r="A40" s="7" t="inlineStr">
        <is>
          <t>B8</t>
        </is>
      </c>
      <c r="B40" s="7" t="inlineStr">
        <is>
          <t>Besar/sederhana: Eksekutif Halal memenuhi kelayakan berikut: Muslim, warganegara Malaysia dan berjawatan tetap; berkelulusan sekurang-kurangnya Diploma Pengurusan Halal atau setara, atau berpengalaman sekurang-kurangnya 5 tahun dalam pengurusan halal; dan memiliki Sijil Eksekutif Halal daripada penyedia latihan yang berdaftar dengan HPB JAKIM.</t>
        </is>
      </c>
      <c r="C40" s="7" t="inlineStr">
        <is>
          <t>MPPHM 3; MHMS 5(3)</t>
        </is>
      </c>
      <c r="D40" s="7" t="inlineStr"/>
      <c r="E40" s="7" t="inlineStr"/>
      <c r="F40" t="inlineStr">
        <is>
          <t>B</t>
        </is>
      </c>
    </row>
    <row r="41">
      <c r="A41" s="7" t="inlineStr">
        <is>
          <t>B9</t>
        </is>
      </c>
      <c r="B41" s="7" t="inlineStr">
        <is>
          <t>Besar/sederhana: Eksekutif Halal melaksanakan tugas yang ditetapkan, termasuk mengawal dan mengemas kini manual HAS dan menyelaras aktiviti JKHD.</t>
        </is>
      </c>
      <c r="C41" s="7" t="inlineStr">
        <is>
          <t>MHMS 5(3), Lampiran B</t>
        </is>
      </c>
      <c r="D41" s="7" t="inlineStr"/>
      <c r="E41" s="7" t="inlineStr"/>
      <c r="F41" t="inlineStr">
        <is>
          <t>B</t>
        </is>
      </c>
    </row>
    <row r="42">
      <c r="A42" s="7" t="inlineStr">
        <is>
          <t>B10</t>
        </is>
      </c>
      <c r="B42" s="7" t="inlineStr">
        <is>
          <t>Kecil: Penyelia Halal (Muslim, warganegara Malaysia, berjawatan tetap) dilantik di premis, dan bertugas menyelia di kawasan pemprosesan dan/atau bahagian pengurusan.</t>
        </is>
      </c>
      <c r="C42" s="7" t="inlineStr">
        <is>
          <t>MPPHM 18(2)(e)(ii), 3</t>
        </is>
      </c>
      <c r="D42" s="7" t="inlineStr"/>
      <c r="E42" s="7" t="inlineStr"/>
      <c r="F42" t="inlineStr">
        <is>
          <t>B</t>
        </is>
      </c>
    </row>
    <row r="43">
      <c r="A43" s="7" t="inlineStr">
        <is>
          <t>B11</t>
        </is>
      </c>
      <c r="B43" s="7" t="inlineStr">
        <is>
          <t>Besar/sederhana: JKHD ditubuhkan bagi premis dan bagi setiap cawangan yang mempunyai pengurusan operasi yang berbeza, dan dilantik secara rasmi dan bertulis oleh pengurusan tertinggi.</t>
        </is>
      </c>
      <c r="C43" s="7" t="inlineStr">
        <is>
          <t>MPPHM 18(2)(e)(i), 3; MHMS 5(4)</t>
        </is>
      </c>
      <c r="D43" s="7" t="inlineStr"/>
      <c r="E43" s="7" t="inlineStr"/>
      <c r="F43" t="inlineStr">
        <is>
          <t>B</t>
        </is>
      </c>
    </row>
    <row r="44">
      <c r="A44" s="7" t="inlineStr">
        <is>
          <t>B12</t>
        </is>
      </c>
      <c r="B44" s="7" t="inlineStr">
        <is>
          <t>Besar/sederhana: JKHD mempunyai sekurang-kurangnya 4 ahli berjawatan tetap (Pengerusi, Eksekutif Halal, wakil pembelian dan/atau perolehan, dan wakil pemprosesan) serta wakil Bahagian R&amp;D. Peranan, tanggungjawab dan terma rujukan JKHD dinyatakan dalam manual HAS, dan carta organisasi JKHD tersedia.</t>
        </is>
      </c>
      <c r="C44" s="7" t="inlineStr">
        <is>
          <t>MHMS 5(4), 7(1)(a)(i), Lampiran C1, C2</t>
        </is>
      </c>
      <c r="D44" s="7" t="inlineStr"/>
      <c r="E44" s="7" t="inlineStr"/>
      <c r="F44" t="inlineStr">
        <is>
          <t>B</t>
        </is>
      </c>
    </row>
    <row r="45">
      <c r="A45" s="7" t="inlineStr">
        <is>
          <t>B13</t>
        </is>
      </c>
      <c r="B45" s="7" t="inlineStr">
        <is>
          <t>Besar/sederhana: Pengerusi JKHD berjawatan setara atau lebih tinggi daripada Eksekutif Halal, dan kompeten dalam aspek pensijilan halal (keutamaan diberi kepada Muslim).</t>
        </is>
      </c>
      <c r="C45" s="7" t="inlineStr">
        <is>
          <t>MHMS 5(4)</t>
        </is>
      </c>
      <c r="D45" s="7" t="inlineStr"/>
      <c r="E45" s="7" t="inlineStr"/>
      <c r="F45" t="inlineStr">
        <is>
          <t>B</t>
        </is>
      </c>
    </row>
    <row r="46">
      <c r="A46" s="7" t="inlineStr">
        <is>
          <t>B14</t>
        </is>
      </c>
      <c r="B46" s="7" t="inlineStr">
        <is>
          <t>Besar/sederhana: JKHD bermesyuarat sekurang-kurangnya 2 kali setahun dengan agenda berkaitan halal, dan minit mesyuarat disimpan.</t>
        </is>
      </c>
      <c r="C46" s="7" t="inlineStr">
        <is>
          <t>MHMS 5(4)</t>
        </is>
      </c>
      <c r="D46" s="7" t="inlineStr"/>
      <c r="E46" s="7" t="inlineStr"/>
      <c r="F46" t="inlineStr">
        <is>
          <t>B</t>
        </is>
      </c>
    </row>
    <row r="47">
      <c r="A47" s="7" t="inlineStr">
        <is>
          <t>B15</t>
        </is>
      </c>
      <c r="B47" s="7" t="inlineStr">
        <is>
          <t>Besar/sederhana: manual HAS dibangunkan mengikut Manual MHMS 2020 dan didokumenkan berasingan daripada sistem lain. Manual mengandungi profil syarikat, objektif, skop, polisi halal, JKHD dan 8 prosedur: audit halal dalaman, kawalan risiko halal, kawalan bahan mentah, latihan halal, kebolehkesanan, semakan HAS, analisis makmal dan sertu. Setiap dokumen mempunyai tarikh berkuat kuasa, tarikh kemas kini, nama penyedia dan tandatangan pelulus.</t>
        </is>
      </c>
      <c r="C47" s="7" t="inlineStr">
        <is>
          <t>MPPHM 18(2)(e)(i), 17(13)(a), 20; MHMS 5(1)</t>
        </is>
      </c>
      <c r="D47" s="7" t="inlineStr"/>
      <c r="E47" s="7" t="inlineStr"/>
      <c r="F47" t="inlineStr">
        <is>
          <t>B</t>
        </is>
      </c>
    </row>
    <row r="48">
      <c r="A48" s="7" t="inlineStr">
        <is>
          <t>B16</t>
        </is>
      </c>
      <c r="B48" s="7" t="inlineStr">
        <is>
          <t>Kecil/mikro: IHCS dibangunkan mengikut Manual MHMS 2020 dan mengandungi polisi halal, prosedur kawalan bahan mentah dan prosedur kebolehkesanan.</t>
        </is>
      </c>
      <c r="C48" s="7" t="inlineStr">
        <is>
          <t>MPPHM 18(2)(e)(ii), 18(2)(e)(iii), 17(13)(a), 19; MHMS 6, 7(1)(b)</t>
        </is>
      </c>
      <c r="D48" s="7" t="inlineStr"/>
      <c r="E48" s="7" t="inlineStr"/>
      <c r="F48" t="inlineStr">
        <is>
          <t>B</t>
        </is>
      </c>
    </row>
    <row r="49">
      <c r="A49" s="7" t="inlineStr">
        <is>
          <t>B17</t>
        </is>
      </c>
      <c r="B49" s="7" t="inlineStr">
        <is>
          <t>HAS: carta alir disediakan bagi setiap aliran pemprosesan produk yang berbeza (cth. krim dan losyen, serbuk, cecair, sabun, gincu), dan HCP ditentukan berdasarkan carta alir dan pelan lantai.</t>
        </is>
      </c>
      <c r="C49" s="7" t="inlineStr">
        <is>
          <t>MHMS 7(1)(a)(ii), 5(6)</t>
        </is>
      </c>
      <c r="D49" s="7" t="inlineStr"/>
      <c r="E49" s="7" t="inlineStr"/>
      <c r="F49" t="inlineStr">
        <is>
          <t>B</t>
        </is>
      </c>
    </row>
    <row r="50">
      <c r="A50" s="7" t="inlineStr">
        <is>
          <t>B18</t>
        </is>
      </c>
      <c r="B50" s="7" t="inlineStr">
        <is>
          <t>HAS: prosedur kawalan risiko halal meliputi R&amp;D, produk, pemprosesan, premis dan peralatan, pekerja, pembungkusan, penyimpanan dan pengangkutan. Prosedur ini didokumenkan berasingan daripada sistem GMP atau sistem pensijilan lain.</t>
        </is>
      </c>
      <c r="C50" s="7" t="inlineStr">
        <is>
          <t>MHMS 5(6)</t>
        </is>
      </c>
      <c r="D50" s="7" t="inlineStr"/>
      <c r="E50" s="7" t="inlineStr"/>
      <c r="F50" t="inlineStr">
        <is>
          <t>B</t>
        </is>
      </c>
    </row>
    <row r="51">
      <c r="A51" s="7" t="inlineStr">
        <is>
          <t>B19</t>
        </is>
      </c>
      <c r="B51" s="7" t="inlineStr">
        <is>
          <t>HAS: pelan pengurusan risiko halal bagi setiap HCP menyatakan risiko halal, kaedah kawalan, kekerapan, PIC, tindakan pembetulan dan rekod. Rekod pemantauan HCP lengkap.</t>
        </is>
      </c>
      <c r="C51" s="7" t="inlineStr">
        <is>
          <t>MHMS 5(6), Lampiran H</t>
        </is>
      </c>
      <c r="D51" s="7" t="inlineStr"/>
      <c r="E51" s="7" t="inlineStr"/>
      <c r="F51" t="inlineStr">
        <is>
          <t>B</t>
        </is>
      </c>
    </row>
    <row r="52">
      <c r="A52" s="7" t="inlineStr">
        <is>
          <t>B20</t>
        </is>
      </c>
      <c r="B52" s="7" t="inlineStr">
        <is>
          <t>HAS: audit halal dalaman dibuat sekurang-kurangnya sekali setahun bagi setiap premis atau cawangan, oleh juruaudit yang dilantik JKHD dan memiliki Sijil Audit Halal Dalaman atau Sijil Eksekutif Halal.</t>
        </is>
      </c>
      <c r="C52" s="7" t="inlineStr">
        <is>
          <t>MHMS 5(5)</t>
        </is>
      </c>
      <c r="D52" s="7" t="inlineStr"/>
      <c r="E52" s="7" t="inlineStr"/>
      <c r="F52" t="inlineStr">
        <is>
          <t>B</t>
        </is>
      </c>
    </row>
    <row r="53">
      <c r="A53" s="7" t="inlineStr">
        <is>
          <t>B21</t>
        </is>
      </c>
      <c r="B53" s="7" t="inlineStr">
        <is>
          <t>HAS: laporan dan senarai semak audit halal dalaman (semakan dokumen, pemeriksaan lapangan dan HCP) dibentangkan kepada JKHD, dan tindakan pembetulan diambil dalam tempoh 14 hari atau tempoh yang dipersetujui.</t>
        </is>
      </c>
      <c r="C53" s="7" t="inlineStr">
        <is>
          <t>MHMS 5(5), Lampiran D</t>
        </is>
      </c>
      <c r="D53" s="7" t="inlineStr"/>
      <c r="E53" s="7" t="inlineStr"/>
      <c r="F53" t="inlineStr">
        <is>
          <t>B</t>
        </is>
      </c>
    </row>
    <row r="54">
      <c r="A54" s="7" t="inlineStr">
        <is>
          <t>B22</t>
        </is>
      </c>
      <c r="B54" s="7" t="inlineStr">
        <is>
          <t>HAS: semakan HAS dibuat oleh JKHD bersama pengurusan atasan sekurang-kurangnya sekali setahun, dan keputusannya diluluskan secara bertulis.</t>
        </is>
      </c>
      <c r="C54" s="7" t="inlineStr">
        <is>
          <t>MHMS 5(10)</t>
        </is>
      </c>
      <c r="D54" s="7" t="inlineStr"/>
      <c r="E54" s="7" t="inlineStr"/>
      <c r="F54" t="inlineStr">
        <is>
          <t>B</t>
        </is>
      </c>
    </row>
    <row r="55">
      <c r="A55" s="7" t="inlineStr">
        <is>
          <t>B23</t>
        </is>
      </c>
      <c r="B55" s="7" t="inlineStr">
        <is>
          <t>Pekerja tahu tindakan yang perlu diambil jika berlaku pencemaran najis mughallazah (sertu). Bagi HAS, prosedur sertu bertulis tersedia dan selaras dengan garis panduan sertu JAKIM dan peraturan MAIN/JAIN.</t>
        </is>
      </c>
      <c r="C55" s="7" t="inlineStr">
        <is>
          <t>MHMS 5(12); MS 2634 Lampiran A*</t>
        </is>
      </c>
      <c r="D55" s="7" t="inlineStr"/>
      <c r="E55" s="7" t="inlineStr"/>
      <c r="F55" t="inlineStr">
        <is>
          <t>B</t>
        </is>
      </c>
    </row>
    <row r="56">
      <c r="A56" s="7" t="inlineStr">
        <is>
          <t>B24</t>
        </is>
      </c>
      <c r="B56" s="7" t="inlineStr">
        <is>
          <t>Setiap perubahan bahan, pembekal, formulasi atau proses disahkan dari segi halal sebelum dilaksanakan (oleh Eksekutif Halal bagi industri besar/sederhana, atau Penyelia Halal bagi industri kecil), dan diisytiharkan kepada pihak berkuasa melalui MYeHALAL.</t>
        </is>
      </c>
      <c r="C56" s="7" t="inlineStr">
        <is>
          <t>MHMS 5(7), Lampiran B; MPPHM 17(1)(g)</t>
        </is>
      </c>
      <c r="D56" s="7" t="inlineStr"/>
      <c r="E56" s="7" t="inlineStr"/>
      <c r="F56" t="inlineStr">
        <is>
          <t>B</t>
        </is>
      </c>
    </row>
    <row r="57">
      <c r="A57" s="7" t="inlineStr">
        <is>
          <t>B25</t>
        </is>
      </c>
      <c r="B57" s="7" t="inlineStr">
        <is>
          <t>Pemantauan berterusan terhadap pelaksanaan kawalan halal (cth. semakan berkala oleh Eksekutif atau Penyelia Halal) dibuat dan direkodkan.</t>
        </is>
      </c>
      <c r="C57" s="7" t="inlineStr">
        <is>
          <t>MPPHM 17(13)(b)</t>
        </is>
      </c>
      <c r="D57" s="7" t="inlineStr"/>
      <c r="E57" s="7" t="inlineStr"/>
      <c r="F57" t="inlineStr">
        <is>
          <t>B</t>
        </is>
      </c>
    </row>
    <row r="58">
      <c r="A58" s="7" t="inlineStr">
        <is>
          <t>B26</t>
        </is>
      </c>
      <c r="B58" s="7" t="inlineStr">
        <is>
          <t>Salinan terkini MPPHM, MHMS, MS 2634, PKDK 1984, fatwa dan pekeliling halal, serta garis panduan kosmetik NPRA (GKPK), disimpan, dan perubahan yang dikehendaki telah dilaksanakan.</t>
        </is>
      </c>
      <c r="C58" s="7" t="inlineStr">
        <is>
          <t>MPPHM 17(16)(a), 17(16)(b), 18(2)(c); MS 2634 kl. 4.8*</t>
        </is>
      </c>
      <c r="D58" s="7" t="inlineStr"/>
      <c r="E58" s="7" t="inlineStr"/>
      <c r="F58" t="inlineStr">
        <is>
          <t>B</t>
        </is>
      </c>
    </row>
    <row r="59">
      <c r="A59" s="4" t="inlineStr">
        <is>
          <t>Bahagian C: Sistem Kualiti GMP Kosmetik &amp; Tanggungjawab Pemegang Notifikasi</t>
        </is>
      </c>
      <c r="B59" s="5" t="n"/>
      <c r="C59" s="5" t="n"/>
      <c r="D59" s="5" t="n"/>
      <c r="E59" s="6" t="n"/>
    </row>
    <row r="60" ht="26" customHeight="1">
      <c r="A60" s="2" t="inlineStr">
        <is>
          <t>Semak laporan pemeriksaan GMP NPRA, carta organisasi pengeluaran dan QC, laporan audit dalaman GMP, kontrak pengilangan atau analisis, serta rekod aduan dan kesan advers.</t>
        </is>
      </c>
    </row>
    <row r="61">
      <c r="A61" s="7" t="inlineStr">
        <is>
          <t>C1</t>
        </is>
      </c>
      <c r="B61" s="7" t="inlineStr">
        <is>
          <t>Bukti pematuhan GMP Kosmetik tersedia: laporan pemeriksaan GMP oleh NPRA (pemeriksaan sebelum notifikasi bagi kilang atau talian pengeluaran baharu, dan pemeriksaan berkala) serta bukti penutupan tindakan pembetulan.</t>
        </is>
      </c>
      <c r="C61" s="7" t="inlineStr">
        <is>
          <t>MPPHM 18(2)(b); GKPK 3.7</t>
        </is>
      </c>
      <c r="D61" s="7" t="inlineStr"/>
      <c r="E61" s="7" t="inlineStr"/>
      <c r="F61" t="inlineStr">
        <is>
          <t>C</t>
        </is>
      </c>
    </row>
    <row r="62">
      <c r="A62" s="7" t="inlineStr">
        <is>
          <t>C2</t>
        </is>
      </c>
      <c r="B62" s="7" t="inlineStr">
        <is>
          <t>Sistem pengurusan kualiti dibangunkan, didokumenkan dan dilaksanakan.</t>
        </is>
      </c>
      <c r="C62" s="7" t="inlineStr">
        <is>
          <t>GMP Kosmetik 1.2</t>
        </is>
      </c>
      <c r="D62" s="7" t="inlineStr"/>
      <c r="E62" s="7" t="inlineStr"/>
      <c r="F62" t="inlineStr">
        <is>
          <t>C</t>
        </is>
      </c>
    </row>
    <row r="63">
      <c r="A63" s="7" t="inlineStr">
        <is>
          <t>C3</t>
        </is>
      </c>
      <c r="B63" s="7" t="inlineStr">
        <is>
          <t>Bahagian pengeluaran dan bahagian kawalan kualiti (QC) diketuai oleh orang yang berbeza, dan kedua-duanya tidak bertanggungjawab antara satu sama lain.</t>
        </is>
      </c>
      <c r="C63" s="7" t="inlineStr">
        <is>
          <t>GMP Kosmetik 2.1.1</t>
        </is>
      </c>
      <c r="D63" s="7" t="inlineStr"/>
      <c r="E63" s="7" t="inlineStr"/>
      <c r="F63" t="inlineStr">
        <is>
          <t>C</t>
        </is>
      </c>
    </row>
    <row r="64">
      <c r="A64" s="7" t="inlineStr">
        <is>
          <t>C4</t>
        </is>
      </c>
      <c r="B64" s="7" t="inlineStr">
        <is>
          <t>Ketua pengeluaran dan ketua QC terlatih dan berpengalaman. Ketua QC berkuasa penuh untuk menetapkan prosedur kawalan kualiti dan untuk meluluskan atau menolak bahan dan produk.</t>
        </is>
      </c>
      <c r="C64" s="7" t="inlineStr">
        <is>
          <t>GMP Kosmetik 2.1.2, 2.1.3</t>
        </is>
      </c>
      <c r="D64" s="7" t="inlineStr"/>
      <c r="E64" s="7" t="inlineStr"/>
      <c r="F64" t="inlineStr">
        <is>
          <t>C</t>
        </is>
      </c>
    </row>
    <row r="65">
      <c r="A65" s="7" t="inlineStr">
        <is>
          <t>C5</t>
        </is>
      </c>
      <c r="B65" s="7" t="inlineStr">
        <is>
          <t>Tanggungjawab dan kuasa kakitangan utama didokumenkan, dan setiap seksyen pengeluaran dan QC mempunyai penyelia yang terlatih.</t>
        </is>
      </c>
      <c r="C65" s="7" t="inlineStr">
        <is>
          <t>GMP Kosmetik 2.1.4, 2.1.5</t>
        </is>
      </c>
      <c r="D65" s="7" t="inlineStr"/>
      <c r="E65" s="7" t="inlineStr"/>
      <c r="F65" t="inlineStr">
        <is>
          <t>C</t>
        </is>
      </c>
    </row>
    <row r="66">
      <c r="A66" s="7" t="inlineStr">
        <is>
          <t>C6</t>
        </is>
      </c>
      <c r="B66" s="7" t="inlineStr">
        <is>
          <t>Audit dalaman (pemeriksaan kendiri) GMP dibuat secara berkala terhadap aktiviti pengeluaran dan QC, dan boleh diperluas kepada pembekal dan kontraktor. Laporan disediakan dan tindakan pembetulan diambil.</t>
        </is>
      </c>
      <c r="C66" s="7" t="inlineStr">
        <is>
          <t>GMP Kosmetik 9; PKDK 1984 per. 24</t>
        </is>
      </c>
      <c r="D66" s="7" t="inlineStr"/>
      <c r="E66" s="7" t="inlineStr"/>
      <c r="F66" t="inlineStr">
        <is>
          <t>C</t>
        </is>
      </c>
    </row>
    <row r="67">
      <c r="A67" s="7" t="inlineStr">
        <is>
          <t>C7</t>
        </is>
      </c>
      <c r="B67" s="7" t="inlineStr">
        <is>
          <t>Pengilangan atau analisis secara kontrak (jika ada): kontrak bertulis antara pemberi kontrak dan kontraktor menetapkan tugas dan tanggungjawab setiap pihak serta semua aspek kerja yang dikontrakkan.</t>
        </is>
      </c>
      <c r="C67" s="7" t="inlineStr">
        <is>
          <t>GMP Kosmetik 11</t>
        </is>
      </c>
      <c r="D67" s="7" t="inlineStr"/>
      <c r="E67" s="7" t="inlineStr"/>
      <c r="F67" t="inlineStr">
        <is>
          <t>C</t>
        </is>
      </c>
    </row>
    <row r="68">
      <c r="A68" s="7" t="inlineStr">
        <is>
          <t>C8</t>
        </is>
      </c>
      <c r="B68" s="7" t="inlineStr">
        <is>
          <t>Orang yang bertanggungjawab mengendalikan aduan dilantik. Prosedur aduan bertulis menerangkan tindakan yang perlu diambil, termasuk pertimbangan untuk menarik balik produk.</t>
        </is>
      </c>
      <c r="C68" s="7" t="inlineStr">
        <is>
          <t>GMP Kosmetik 12.1, 12.2; GKPK 4.3</t>
        </is>
      </c>
      <c r="D68" s="7" t="inlineStr"/>
      <c r="E68" s="7" t="inlineStr"/>
      <c r="F68" t="inlineStr">
        <is>
          <t>C</t>
        </is>
      </c>
    </row>
    <row r="69">
      <c r="A69" s="7" t="inlineStr">
        <is>
          <t>C9</t>
        </is>
      </c>
      <c r="B69" s="7" t="inlineStr">
        <is>
          <t>Aduan kecacatan produk (termasuk aduan berkaitan status halal) direkod dengan butiran asal dan disiasat, termasuk semakan kelompok lain yang mungkin terjejas. Keputusan dan tindakan didokumenkan dan dirujuk kepada rekod kelompok, dan rekod aduan dikaji semula secara berkala untuk mengesan masalah berulang.</t>
        </is>
      </c>
      <c r="C69" s="7" t="inlineStr">
        <is>
          <t>GMP Kosmetik 12.3-12.7</t>
        </is>
      </c>
      <c r="D69" s="7" t="inlineStr"/>
      <c r="E69" s="7" t="inlineStr"/>
      <c r="F69" t="inlineStr">
        <is>
          <t>C</t>
        </is>
      </c>
    </row>
    <row r="70">
      <c r="A70" s="7" t="inlineStr">
        <is>
          <t>C10</t>
        </is>
      </c>
      <c r="B70" s="7" t="inlineStr">
        <is>
          <t>Kesan advers yang serius, atau insiden kesan advers yang tinggi, dilaporkan kepada NPRA mengikut manual pelaporan tanpa mengira sumber laporan.</t>
        </is>
      </c>
      <c r="C70" s="7" t="inlineStr">
        <is>
          <t>PKDK 1984 per. 18A(9); GKPK 4.4, Annex I Part 15</t>
        </is>
      </c>
      <c r="D70" s="7" t="inlineStr"/>
      <c r="E70" s="7" t="inlineStr"/>
      <c r="F70" t="inlineStr">
        <is>
          <t>C</t>
        </is>
      </c>
    </row>
    <row r="71">
      <c r="A71" s="7" t="inlineStr">
        <is>
          <t>C11</t>
        </is>
      </c>
      <c r="B71" s="7" t="inlineStr">
        <is>
          <t>Pihak berkuasa dimaklumkan jika pengilang mempertimbangkan tindakan berkaitan kecacatan pengilangan atau kemerosotan produk yang menimbulkan kebimbangan keselamatan yang serius.</t>
        </is>
      </c>
      <c r="C71" s="7" t="inlineStr">
        <is>
          <t>GMP Kosmetik 12.8</t>
        </is>
      </c>
      <c r="D71" s="7" t="inlineStr"/>
      <c r="E71" s="7" t="inlineStr"/>
      <c r="F71" t="inlineStr">
        <is>
          <t>C</t>
        </is>
      </c>
    </row>
    <row r="72">
      <c r="A72" s="7" t="inlineStr">
        <is>
          <t>C12</t>
        </is>
      </c>
      <c r="B72" s="7" t="inlineStr">
        <is>
          <t>Arahan, garis panduan dan syarat yang dikenakan oleh Pengarah melalui NPRA (cth. arahan selepas pemeriksaan) dipatuhi, dan tindakan yang diambil direkodkan.</t>
        </is>
      </c>
      <c r="C72" s="7" t="inlineStr">
        <is>
          <t>PKDK 1984 per. 18A(10)</t>
        </is>
      </c>
      <c r="D72" s="7" t="inlineStr"/>
      <c r="E72" s="7" t="inlineStr"/>
      <c r="F72" t="inlineStr">
        <is>
          <t>C</t>
        </is>
      </c>
    </row>
    <row r="73">
      <c r="A73" s="4" t="inlineStr">
        <is>
          <t>Bahagian D: Premis, Persekitaran &amp; Bekalan Air</t>
        </is>
      </c>
      <c r="B73" s="5" t="n"/>
      <c r="C73" s="5" t="n"/>
      <c r="D73" s="5" t="n"/>
      <c r="E73" s="6" t="n"/>
    </row>
    <row r="74" ht="26" customHeight="1">
      <c r="A74" s="2" t="inlineStr">
        <is>
          <t>Dengan merujuk pelan lantai, berjalan dari kawasan luar dan sempadan kilang ke bangunan pengeluaran, sistem air, kemudahan sokongan dan tempat tinggal pekerja (jika ada).</t>
        </is>
      </c>
    </row>
    <row r="75">
      <c r="A75" s="7" t="inlineStr">
        <is>
          <t>D1</t>
        </is>
      </c>
      <c r="B75" s="7" t="inlineStr">
        <is>
          <t>Pencemaran daripada premis bersebelahan yang mengendalikan bahan tidak halal, loji kumbahan dan ladang ternakan (khususnya babi) dikawal dengan berkesan.</t>
        </is>
      </c>
      <c r="C75" s="7" t="inlineStr">
        <is>
          <t>MPPHM 17(8)(b)</t>
        </is>
      </c>
      <c r="D75" s="7" t="inlineStr"/>
      <c r="E75" s="7" t="inlineStr"/>
      <c r="F75" t="inlineStr">
        <is>
          <t>D</t>
        </is>
      </c>
    </row>
    <row r="76">
      <c r="A76" s="7" t="inlineStr">
        <is>
          <t>D2</t>
        </is>
      </c>
      <c r="B76" s="7" t="inlineStr">
        <is>
          <t>Premis berpagar atau dikawal daripada kemasukan haiwan peliharaan dan liar, serangga dan perosak. Contohnya, tiada anjing (termasuk anjing pengawal) dipelihara atau berkeliaran di kawasan premis.</t>
        </is>
      </c>
      <c r="C76" s="7" t="inlineStr">
        <is>
          <t>MPPHM 17(8)(c); GMP Kosmetik 3.1</t>
        </is>
      </c>
      <c r="D76" s="7" t="inlineStr"/>
      <c r="E76" s="7" t="inlineStr"/>
      <c r="F76" t="inlineStr">
        <is>
          <t>D</t>
        </is>
      </c>
    </row>
    <row r="77">
      <c r="A77" s="7" t="inlineStr">
        <is>
          <t>D3</t>
        </is>
      </c>
      <c r="B77" s="7" t="inlineStr">
        <is>
          <t>Seluruh premis, termasuk pejabat, kantin, pantri, loker dan tempat tinggal pekerja, bebas daripada bahan dan produk tidak halal (cth. arak, produk babi).</t>
        </is>
      </c>
      <c r="C77" s="7" t="inlineStr">
        <is>
          <t>MPPHM 17(8)(a); MS 2634 kl. 4.5*</t>
        </is>
      </c>
      <c r="D77" s="7" t="inlineStr"/>
      <c r="E77" s="7" t="inlineStr"/>
      <c r="F77" t="inlineStr">
        <is>
          <t>D</t>
        </is>
      </c>
    </row>
    <row r="78">
      <c r="A78" s="7" t="inlineStr">
        <is>
          <t>D4</t>
        </is>
      </c>
      <c r="B78" s="7" t="inlineStr">
        <is>
          <t>Premis dalam keadaan baik, bersih dan teratur, tanpa longgokan barang yang tidak berkaitan.</t>
        </is>
      </c>
      <c r="C78" s="7" t="inlineStr">
        <is>
          <t>MPPHM 17(8)(d)</t>
        </is>
      </c>
      <c r="D78" s="7" t="inlineStr"/>
      <c r="E78" s="7" t="inlineStr"/>
      <c r="F78" t="inlineStr">
        <is>
          <t>D</t>
        </is>
      </c>
    </row>
    <row r="79">
      <c r="A79" s="7" t="inlineStr">
        <is>
          <t>D5</t>
        </is>
      </c>
      <c r="B79" s="7" t="inlineStr">
        <is>
          <t>Pelan lantai terkini tersedia dan sepadan dengan susun atur sebenar. Susun atur dirancang mengikut prinsip GMP supaya mencegah pencemaran silang dan kekeliruan, memudahkan pembersihan, serta menjaga keselamatan dan kesihatan.</t>
        </is>
      </c>
      <c r="C79" s="7" t="inlineStr">
        <is>
          <t>MPPHM 17(8)(j); GKPK 3.7</t>
        </is>
      </c>
      <c r="D79" s="7" t="inlineStr"/>
      <c r="E79" s="7" t="inlineStr"/>
      <c r="F79" t="inlineStr">
        <is>
          <t>D</t>
        </is>
      </c>
    </row>
    <row r="80">
      <c r="A80" s="7" t="inlineStr">
        <is>
          <t>D6</t>
        </is>
      </c>
      <c r="B80" s="7" t="inlineStr">
        <is>
          <t>Kawasan yang ditetapkan disediakan bagi penerimaan bahan, persampelan, kuarantin, penyimpanan bahan mula, penimbangan, pemprosesan, penyimpanan pukal, pembungkusan, kuarantin sebelum pelepasan, penyimpanan produk siap, muat dan punggah, makmal, dan pencucian peralatan.</t>
        </is>
      </c>
      <c r="C80" s="7" t="inlineStr">
        <is>
          <t>GMP Kosmetik 3.5; PKDK 1984 per. 20(1); MPPHM 17(8)(i)</t>
        </is>
      </c>
      <c r="D80" s="7" t="inlineStr"/>
      <c r="E80" s="7" t="inlineStr"/>
      <c r="F80" t="inlineStr">
        <is>
          <t>D</t>
        </is>
      </c>
    </row>
    <row r="81">
      <c r="A81" s="7" t="inlineStr">
        <is>
          <t>D7</t>
        </is>
      </c>
      <c r="B81" s="7" t="inlineStr">
        <is>
          <t>Jika premis turut mengeluarkan produk isi rumah yang tidak berbahaya (yang dibenarkan berkongsi premis), produk itu juga bebas daripada bahan tidak halal. Langkah mencegah pencemaran silang dan kekeliruan (cth. garisan cat, tirai plastik, tali atau pita) dilaksanakan.</t>
        </is>
      </c>
      <c r="C81" s="7" t="inlineStr">
        <is>
          <t>GMP Kosmetik 3.2, 3.3; MPPHM 5(9), 17(3)(b)</t>
        </is>
      </c>
      <c r="D81" s="7" t="inlineStr"/>
      <c r="E81" s="7" t="inlineStr"/>
      <c r="F81" t="inlineStr">
        <is>
          <t>D</t>
        </is>
      </c>
    </row>
    <row r="82">
      <c r="A82" s="7" t="inlineStr">
        <is>
          <t>D8</t>
        </is>
      </c>
      <c r="B82" s="7" t="inlineStr">
        <is>
          <t>Lantai, dinding dan siling di kawasan pemprosesan licin, mudah diselenggara, dan mudah dibersihkan serta disanitasi. Kipas, penghawa dingin, tingkap dan pintu bersih.</t>
        </is>
      </c>
      <c r="C82" s="7" t="inlineStr">
        <is>
          <t>GMP Kosmetik 3.6; MPPHM 17(8)(e)</t>
        </is>
      </c>
      <c r="D82" s="7" t="inlineStr"/>
      <c r="E82" s="7" t="inlineStr"/>
      <c r="F82" t="inlineStr">
        <is>
          <t>D</t>
        </is>
      </c>
    </row>
    <row r="83">
      <c r="A83" s="7" t="inlineStr">
        <is>
          <t>D9</t>
        </is>
      </c>
      <c r="B83" s="7" t="inlineStr">
        <is>
          <t>Pencahayaan dan pengudaraan mencukupi. Lampu di kawasan pemprosesan bersih, berfungsi dan bertutup.</t>
        </is>
      </c>
      <c r="C83" s="7" t="inlineStr">
        <is>
          <t>MPPHM 17(8)(g), 17(8)(h); GMP Kosmetik 3.9</t>
        </is>
      </c>
      <c r="D83" s="7" t="inlineStr"/>
      <c r="E83" s="7" t="inlineStr"/>
      <c r="F83" t="inlineStr">
        <is>
          <t>D</t>
        </is>
      </c>
    </row>
    <row r="84">
      <c r="A84" s="7" t="inlineStr">
        <is>
          <t>D10</t>
        </is>
      </c>
      <c r="B84" s="7" t="inlineStr">
        <is>
          <t>Sistem pengambilan dan ekzos udara serta paip berkaitan direka supaya tidak mencemarkan produk. Paip, lampu dan saluran pengudaraan dipasang supaya tidak mewujudkan ceruk yang sukar dibersihkan di kawasan pengeluaran.</t>
        </is>
      </c>
      <c r="C84" s="7" t="inlineStr">
        <is>
          <t>GMP Kosmetik 3.8, 3.10</t>
        </is>
      </c>
      <c r="D84" s="7" t="inlineStr"/>
      <c r="E84" s="7" t="inlineStr"/>
      <c r="F84" t="inlineStr">
        <is>
          <t>D</t>
        </is>
      </c>
    </row>
    <row r="85">
      <c r="A85" s="7" t="inlineStr">
        <is>
          <t>D11</t>
        </is>
      </c>
      <c r="B85" s="7" t="inlineStr">
        <is>
          <t>Saliran bersaiz mencukupi, mempunyai perangkap (trapped gully) dan aliran yang baik, serta bersih.</t>
        </is>
      </c>
      <c r="C85" s="7" t="inlineStr">
        <is>
          <t>GMP Kosmetik 3.7; MPPHM 17(8)(l)</t>
        </is>
      </c>
      <c r="D85" s="7" t="inlineStr"/>
      <c r="E85" s="7" t="inlineStr"/>
      <c r="F85" t="inlineStr">
        <is>
          <t>D</t>
        </is>
      </c>
    </row>
    <row r="86">
      <c r="A86" s="7" t="inlineStr">
        <is>
          <t>D12</t>
        </is>
      </c>
      <c r="B86" s="7" t="inlineStr">
        <is>
          <t>Sistem air (cth. penyahionan, penyulingan, penapisan atau RO) membekalkan air yang berkualiti untuk pengeluaran. Kualiti kimia dan mikrobiologi air dipantau secara berkala mengikut prosedur bertulis, sistem air disanitasi, dan tindakan pembetulan diambil bagi keputusan luar had.</t>
        </is>
      </c>
      <c r="C86" s="7" t="inlineStr">
        <is>
          <t>GMP Kosmetik 6.1.1</t>
        </is>
      </c>
      <c r="D86" s="7" t="inlineStr"/>
      <c r="E86" s="7" t="inlineStr"/>
      <c r="F86" t="inlineStr">
        <is>
          <t>D</t>
        </is>
      </c>
    </row>
    <row r="87">
      <c r="A87" s="7" t="inlineStr">
        <is>
          <t>D13</t>
        </is>
      </c>
      <c r="B87" s="7" t="inlineStr">
        <is>
          <t>Laporan analisis kualiti air tersedia jika kilang menggunakan sumber air bukan bekalan awam (cth. telaga atau air bukit).</t>
        </is>
      </c>
      <c r="C87" s="7" t="inlineStr">
        <is>
          <t>MPPHM 17(1)(j)</t>
        </is>
      </c>
      <c r="D87" s="7" t="inlineStr"/>
      <c r="E87" s="7" t="inlineStr"/>
      <c r="F87" t="inlineStr">
        <is>
          <t>D</t>
        </is>
      </c>
    </row>
    <row r="88">
      <c r="A88" s="7" t="inlineStr">
        <is>
          <t>D14</t>
        </is>
      </c>
      <c r="B88" s="7" t="inlineStr">
        <is>
          <t>Status halal media penapis dan resin dalam sistem rawatan air (cth. karbon teraktif, resin penukar ion) disahkan, iaitu bahan itu bukan daripada arang tulang haiwan yang tidak halal.</t>
        </is>
      </c>
      <c r="C88" s="7" t="inlineStr">
        <is>
          <t>MPPHM 17(5)(c)</t>
        </is>
      </c>
      <c r="D88" s="7" t="inlineStr"/>
      <c r="E88" s="7" t="inlineStr"/>
      <c r="F88" t="inlineStr">
        <is>
          <t>D</t>
        </is>
      </c>
    </row>
    <row r="89">
      <c r="A89" s="7" t="inlineStr">
        <is>
          <t>D15</t>
        </is>
      </c>
      <c r="B89" s="7" t="inlineStr">
        <is>
          <t>Tiada alat atau unsur penyembahan di kawasan pemprosesan.</t>
        </is>
      </c>
      <c r="C89" s="7" t="inlineStr">
        <is>
          <t>MPPHM 17(15)</t>
        </is>
      </c>
      <c r="D89" s="7" t="inlineStr"/>
      <c r="E89" s="7" t="inlineStr"/>
      <c r="F89" t="inlineStr">
        <is>
          <t>D</t>
        </is>
      </c>
    </row>
    <row r="90">
      <c r="A90" s="7" t="inlineStr">
        <is>
          <t>D16</t>
        </is>
      </c>
      <c r="B90" s="7" t="inlineStr">
        <is>
          <t>Tempat tinggal pekerja berada di bangunan berasingan. Jika berada dalam bangunan yang sama, ada pintu masuk berasingan, tiada laluan terus ke kawasan pemprosesan, dan aksesnya dikawal.</t>
        </is>
      </c>
      <c r="C90" s="7" t="inlineStr">
        <is>
          <t>MPPHM 17(8)(k)</t>
        </is>
      </c>
      <c r="D90" s="7" t="inlineStr"/>
      <c r="E90" s="7" t="inlineStr"/>
      <c r="F90" t="inlineStr">
        <is>
          <t>D</t>
        </is>
      </c>
    </row>
    <row r="91">
      <c r="A91" s="7" t="inlineStr">
        <is>
          <t>D17</t>
        </is>
      </c>
      <c r="B91" s="7" t="inlineStr">
        <is>
          <t>Premis yang pernah tercemar najis mughallazah (cth. premis yang diambil alih daripada pengguna terdahulu) telah disertu, dengan rekod, sebelum digunakan.</t>
        </is>
      </c>
      <c r="C91" s="7" t="inlineStr">
        <is>
          <t>MPPHM 17(8)(n); MHMS 5(12); MS 2634 Lampiran A*</t>
        </is>
      </c>
      <c r="D91" s="7" t="inlineStr"/>
      <c r="E91" s="7" t="inlineStr"/>
      <c r="F91" t="inlineStr">
        <is>
          <t>D</t>
        </is>
      </c>
    </row>
    <row r="92">
      <c r="A92" s="7" t="inlineStr">
        <is>
          <t>D18</t>
        </is>
      </c>
      <c r="B92" s="7" t="inlineStr">
        <is>
          <t>Premis, stor dan kenderaan mematuhi undang-undang lain yang berkaitan dengan operasinya (cth. kelulusan atau perakuan keselamatan kebakaran bagi stor bahan mudah terbakar seperti etanol, dan keperluan keselamatan dan kesihatan pekerjaan), dan bukti kelulusan yang masih sah tersedia.</t>
        </is>
      </c>
      <c r="C92" s="7" t="inlineStr">
        <is>
          <t>MPPHM 17(8)(m), 17(4)(i), 17(16)(a)</t>
        </is>
      </c>
      <c r="D92" s="7" t="inlineStr"/>
      <c r="E92" s="7" t="inlineStr"/>
      <c r="F92" t="inlineStr">
        <is>
          <t>D</t>
        </is>
      </c>
    </row>
    <row r="93">
      <c r="A93" s="4" t="inlineStr">
        <is>
          <t>Bahagian E: Bahan Mentah, Bahan Kritikal &amp; Pembekal</t>
        </is>
      </c>
      <c r="B93" s="5" t="n"/>
      <c r="C93" s="5" t="n"/>
      <c r="D93" s="5" t="n"/>
      <c r="E93" s="6" t="n"/>
    </row>
    <row r="94" ht="26" customHeight="1">
      <c r="A94" s="2" t="inlineStr">
        <is>
          <t>Semak senarai induk bahan, sijil halal dan dokumen sokongan pembekal, kemudian padankan dengan bahan sebenar di kawasan penerimaan, stor dan penimbangan, dengan perhatian khusus kepada bahan bersumberkan haiwan, alkohol dan bahan bioteknologi.</t>
        </is>
      </c>
    </row>
    <row r="95">
      <c r="A95" s="7" t="inlineStr">
        <is>
          <t>E1</t>
        </is>
      </c>
      <c r="B95" s="7" t="inlineStr">
        <is>
          <t>Senarai induk bahan mentah (masterlist) lengkap dan terkini, meliputi semua bahan termasuk bahan bantu pemprosesan. Senarai mengandungi sekurang-kurangnya 8 maklumat: nama bahan; nama saintifik, kod atau nama dagangan (cth. nama INCI); sumber; nama dan alamat pengilang; status perisytiharan kepada pihak berkuasa; maklumat sijil halal (badan pensijilan dan tarikh tamat); dokumen sokongan; dan catatan.</t>
        </is>
      </c>
      <c r="C95" s="7" t="inlineStr">
        <is>
          <t>MHMS 5(7), Lampiran J</t>
        </is>
      </c>
      <c r="D95" s="7" t="inlineStr"/>
      <c r="E95" s="7" t="inlineStr"/>
      <c r="F95" t="inlineStr">
        <is>
          <t>E</t>
        </is>
      </c>
    </row>
    <row r="96">
      <c r="A96" s="7" t="inlineStr">
        <is>
          <t>E2</t>
        </is>
      </c>
      <c r="B96" s="7" t="inlineStr">
        <is>
          <t>Prosedur kawalan bahan mentah bertulis meliputi pembelian, penerimaan dan penyimpanan bahan, dan rekodnya tersedia (bagi HAS dan IHCS).</t>
        </is>
      </c>
      <c r="C96" s="7" t="inlineStr">
        <is>
          <t>MHMS 5(7), 6(2), 7(1)(b)(ii)</t>
        </is>
      </c>
      <c r="D96" s="7" t="inlineStr"/>
      <c r="E96" s="7" t="inlineStr"/>
      <c r="F96" t="inlineStr">
        <is>
          <t>E</t>
        </is>
      </c>
    </row>
    <row r="97">
      <c r="A97" s="7" t="inlineStr">
        <is>
          <t>E3</t>
        </is>
      </c>
      <c r="B97" s="7" t="inlineStr">
        <is>
          <t>Pembekal baharu dinilai (cth. melalui soal selidik bahan, spesifikasi dan dokumen halal) sebelum bahan dibeli.</t>
        </is>
      </c>
      <c r="C97" s="7" t="inlineStr">
        <is>
          <t>MHMS 5(7); MS 2634 kl. 4.2*</t>
        </is>
      </c>
      <c r="D97" s="7" t="inlineStr"/>
      <c r="E97" s="7" t="inlineStr"/>
      <c r="F97" t="inlineStr">
        <is>
          <t>E</t>
        </is>
      </c>
    </row>
    <row r="98">
      <c r="A98" s="7" t="inlineStr">
        <is>
          <t>E4</t>
        </is>
      </c>
      <c r="B98" s="7" t="inlineStr">
        <is>
          <t>Setiap penghantaran bahan mentah dan bahan pembungkusan diperiksa terhadap dokumen dan label (nama, jenis, kuantiti, pengilang, status halal, keadaan bungkusan) sebelum diterima, dan rekod pemeriksaan disimpan.</t>
        </is>
      </c>
      <c r="C98" s="7" t="inlineStr">
        <is>
          <t>GMP Kosmetik 6.1.2, 10.2.1.1, 10.2.1.2; MHMS 5(7)</t>
        </is>
      </c>
      <c r="D98" s="7" t="inlineStr"/>
      <c r="E98" s="7" t="inlineStr"/>
      <c r="F98" t="inlineStr">
        <is>
          <t>E</t>
        </is>
      </c>
    </row>
    <row r="99">
      <c r="A99" s="7" t="inlineStr">
        <is>
          <t>E5</t>
        </is>
      </c>
      <c r="B99" s="7" t="inlineStr">
        <is>
          <t>Bahan yang tidak mematuhi spesifikasi, atau yang status halalnya tidak dapat disahkan, diasingkan, dilabel, dan dipulangkan atau dilupuskan mengikut prosedur.</t>
        </is>
      </c>
      <c r="C99" s="7" t="inlineStr">
        <is>
          <t>GMP Kosmetik 6.1.3; MHMS 5(7)</t>
        </is>
      </c>
      <c r="D99" s="7" t="inlineStr"/>
      <c r="E99" s="7" t="inlineStr"/>
      <c r="F99" t="inlineStr">
        <is>
          <t>E</t>
        </is>
      </c>
    </row>
    <row r="100">
      <c r="A100" s="7" t="inlineStr">
        <is>
          <t>E6</t>
        </is>
      </c>
      <c r="B100" s="7" t="inlineStr">
        <is>
          <t>Bahan mentah yang diterima dan digunakan selamat dan tidak tercemar: tiada bahan rosak, bocor, tercemar atau melepasi tarikh luput/ujian semula digunakan dalam pengeluaran.</t>
        </is>
      </c>
      <c r="C100" s="7" t="inlineStr">
        <is>
          <t>MPPHM 17(1)(a); GMP Kosmetik 6.1.2, 6.4.1</t>
        </is>
      </c>
      <c r="D100" s="7" t="inlineStr"/>
      <c r="E100" s="7" t="inlineStr"/>
      <c r="F100" t="inlineStr">
        <is>
          <t>E</t>
        </is>
      </c>
    </row>
    <row r="101">
      <c r="A101" s="7" t="inlineStr">
        <is>
          <t>E7</t>
        </is>
      </c>
      <c r="B101" s="7" t="inlineStr">
        <is>
          <t>Bahan sebenar di kawasan penerimaan, stor dan penimbangan sepadan dengan senarai induk dan perisytiharan MYeHALAL, dengan butiran (nama bahan, pengilang, pembekal) yang sama seperti pada label bahan. Tiada bahan yang tidak diisytiharkan atau yang diragui status halalnya (syubhah).</t>
        </is>
      </c>
      <c r="C101" s="7" t="inlineStr">
        <is>
          <t>MPPHM 17(1)(g); MHMS 5(7)</t>
        </is>
      </c>
      <c r="D101" s="7" t="inlineStr"/>
      <c r="E101" s="7" t="inlineStr"/>
      <c r="F101" t="inlineStr">
        <is>
          <t>E</t>
        </is>
      </c>
    </row>
    <row r="102">
      <c r="A102" s="7" t="inlineStr">
        <is>
          <t>E8</t>
        </is>
      </c>
      <c r="B102" s="7" t="inlineStr">
        <is>
          <t>Semua bahan berlabel dengan nama dan alamat pengilang, dan pengilang asal setiap bahan dapat dikenal pasti.</t>
        </is>
      </c>
      <c r="C102" s="7" t="inlineStr">
        <is>
          <t>MPPHM 17(1)(e), 17(1)(h)</t>
        </is>
      </c>
      <c r="D102" s="7" t="inlineStr"/>
      <c r="E102" s="7" t="inlineStr"/>
      <c r="F102" t="inlineStr">
        <is>
          <t>E</t>
        </is>
      </c>
    </row>
    <row r="103">
      <c r="A103" s="7" t="inlineStr">
        <is>
          <t>E9</t>
        </is>
      </c>
      <c r="B103" s="7" t="inlineStr">
        <is>
          <t>Bahan bersumberkan haiwan mempunyai sijil halal yang sah daripada JAKIM/JAIN/MAIN atau daripada badan pensijilan halal luar negara yang diiktiraf JAKIM. Sijil itu meliputi bahan dan pengilang yang sebenarnya dibekalkan.</t>
        </is>
      </c>
      <c r="C103" s="7" t="inlineStr">
        <is>
          <t>MPPHM 17(1)(a), 17(1)(b); MS 2634 kl. 4.2*, kl. 4.4*</t>
        </is>
      </c>
      <c r="D103" s="7" t="inlineStr"/>
      <c r="E103" s="7" t="inlineStr"/>
      <c r="F103" t="inlineStr">
        <is>
          <t>E</t>
        </is>
      </c>
    </row>
    <row r="104">
      <c r="A104" s="7" t="inlineStr">
        <is>
          <t>E10</t>
        </is>
      </c>
      <c r="B104" s="7" t="inlineStr">
        <is>
          <t>Bahan bersumberkan haiwan yang diimport berasal daripada loji sembelihan atau pemprosesan yang diluluskan JPV.</t>
        </is>
      </c>
      <c r="C104" s="7" t="inlineStr">
        <is>
          <t>MPPHM 17(1)(c)</t>
        </is>
      </c>
      <c r="D104" s="7" t="inlineStr"/>
      <c r="E104" s="7" t="inlineStr"/>
      <c r="F104" t="inlineStr">
        <is>
          <t>E</t>
        </is>
      </c>
    </row>
    <row r="105">
      <c r="A105" s="7" t="inlineStr">
        <is>
          <t>E11</t>
        </is>
      </c>
      <c r="B105" s="7" t="inlineStr">
        <is>
          <t>Bahan tanpa sijil halal (cth. bahan kimia sintetik, mineral, ekstrak tumbuhan) mempunyai dokumen sokongan yang lengkap, iaitu komposisi, carta alir proses dan sumber.</t>
        </is>
      </c>
      <c r="C105" s="7" t="inlineStr">
        <is>
          <t>MPPHM 17(1)(d)</t>
        </is>
      </c>
      <c r="D105" s="7" t="inlineStr"/>
      <c r="E105" s="7" t="inlineStr"/>
      <c r="F105" t="inlineStr">
        <is>
          <t>E</t>
        </is>
      </c>
    </row>
    <row r="106">
      <c r="A106" s="7" t="inlineStr">
        <is>
          <t>E12</t>
        </is>
      </c>
      <c r="B106" s="7" t="inlineStr">
        <is>
          <t>Bahan yang melalui pemprosesan kedua oleh pihak ketiga (cth. pra-campuran pewarna atau wangian, atau pengisian semula dan pembungkusan semula oleh pengedar) mempunyai sijil halal yang sah.</t>
        </is>
      </c>
      <c r="C106" s="7" t="inlineStr">
        <is>
          <t>MPPHM 17(1)(f)</t>
        </is>
      </c>
      <c r="D106" s="7" t="inlineStr"/>
      <c r="E106" s="7" t="inlineStr"/>
      <c r="F106" t="inlineStr">
        <is>
          <t>E</t>
        </is>
      </c>
    </row>
    <row r="107">
      <c r="A107" s="7" t="inlineStr">
        <is>
          <t>E13</t>
        </is>
      </c>
      <c r="B107" s="7" t="inlineStr">
        <is>
          <t>Tarikh tamat sijil halal bahan dipantau, dan sijil baharu diperoleh sebelum sijil lama tamat. Bahan tidak dibeli atau digunakan selepas sijilnya tamat tanpa pengesahan semula.</t>
        </is>
      </c>
      <c r="C107" s="7" t="inlineStr">
        <is>
          <t>MHMS 5(7)</t>
        </is>
      </c>
      <c r="D107" s="7" t="inlineStr"/>
      <c r="E107" s="7" t="inlineStr"/>
      <c r="F107" t="inlineStr">
        <is>
          <t>E</t>
        </is>
      </c>
    </row>
    <row r="108">
      <c r="A108" s="7" t="inlineStr">
        <is>
          <t>E14</t>
        </is>
      </c>
      <c r="B108" s="7" t="inlineStr">
        <is>
          <t>Tiada bahan yang mengandungi atau berasal daripada babi, anjing atau keturunannya, atau daripada haiwan lain yang tidak halal menurut Hukum Syarak dan fatwa.</t>
        </is>
      </c>
      <c r="C108" s="7" t="inlineStr">
        <is>
          <t>MS 2634 kl. 4.2*; Perintah Takrif Halal 2011 perenggan 3(1)</t>
        </is>
      </c>
      <c r="D108" s="7" t="inlineStr"/>
      <c r="E108" s="7" t="inlineStr"/>
      <c r="F108" t="inlineStr">
        <is>
          <t>E</t>
        </is>
      </c>
    </row>
    <row r="109">
      <c r="A109" s="7" t="inlineStr">
        <is>
          <t>E15</t>
        </is>
      </c>
      <c r="B109" s="7" t="inlineStr">
        <is>
          <t>Tiada bahan bersumberkan manusia (cth. plasenta manusia, sel, tisu, rambut, atau medium kultur sel stem manusia).</t>
        </is>
      </c>
      <c r="C109" s="7" t="inlineStr">
        <is>
          <t>MS 2634 kl. 4.2*; Perintah Takrif Halal 2011 perenggan 3(1); ACD Annex II no. ruj. 416</t>
        </is>
      </c>
      <c r="D109" s="7" t="inlineStr"/>
      <c r="E109" s="7" t="inlineStr"/>
      <c r="F109" t="inlineStr">
        <is>
          <t>E</t>
        </is>
      </c>
    </row>
    <row r="110">
      <c r="A110" s="7" t="inlineStr">
        <is>
          <t>E16</t>
        </is>
      </c>
      <c r="B110" s="7" t="inlineStr">
        <is>
          <t>Kolagen, elastin, keratin, gelatin (termasuk kapsul serum bergelatin) dan protein atau peptida terhidrolisis: sumbernya (haiwan darat, haiwan akuatik, tumbuhan atau bioteknologi) dikenal pasti, dan bahan bersumberkan haiwan bersijil halal.</t>
        </is>
      </c>
      <c r="C110" s="7" t="inlineStr">
        <is>
          <t>MPPHM 17(1)(b), 17(1)(d); MS 2634 kl. 4.2*</t>
        </is>
      </c>
      <c r="D110" s="7" t="inlineStr"/>
      <c r="E110" s="7" t="inlineStr"/>
      <c r="F110" t="inlineStr">
        <is>
          <t>E</t>
        </is>
      </c>
    </row>
    <row r="111">
      <c r="A111" s="7" t="inlineStr">
        <is>
          <t>E17</t>
        </is>
      </c>
      <c r="B111" s="7" t="inlineStr">
        <is>
          <t>Gliserin, asid stearik dan asid lemak lain, alkohol lemak, ester, pengemulsi dan surfaktan (cth. gliseril stearat, polisorbat, 'sodium tallowate'): sumber tumbuhan atau sintetiknya disahkan, atau bahan itu bersijil halal jika berasal daripada lemak haiwan (tallow).</t>
        </is>
      </c>
      <c r="C111" s="7" t="inlineStr">
        <is>
          <t>MPPHM 17(1)(b), 17(1)(d); MS 2634 kl. 4.2*</t>
        </is>
      </c>
      <c r="D111" s="7" t="inlineStr"/>
      <c r="E111" s="7" t="inlineStr"/>
      <c r="F111" t="inlineStr">
        <is>
          <t>E</t>
        </is>
      </c>
    </row>
    <row r="112">
      <c r="A112" s="7" t="inlineStr">
        <is>
          <t>E18</t>
        </is>
      </c>
      <c r="B112" s="7" t="inlineStr">
        <is>
          <t>Lanolin dan derivatifnya, skualena atau skualana, dan asid hialuronik: sumbernya didokumenkan (cth. bulu biri-biri; minyak hati jerung, zaitun atau tebu; jengger ayam atau fermentasi mikrob). Bahan daripada haiwan sembelihan bersijil halal.</t>
        </is>
      </c>
      <c r="C112" s="7" t="inlineStr">
        <is>
          <t>MPPHM 17(1)(b), 17(1)(d); MS 2634 kl. 4.2*</t>
        </is>
      </c>
      <c r="D112" s="7" t="inlineStr"/>
      <c r="E112" s="7" t="inlineStr"/>
      <c r="F112" t="inlineStr">
        <is>
          <t>E</t>
        </is>
      </c>
    </row>
    <row r="113">
      <c r="A113" s="7" t="inlineStr">
        <is>
          <t>E19</t>
        </is>
      </c>
      <c r="B113" s="7" t="inlineStr">
        <is>
          <t>Plasenta haiwan dan ekstrak organ haiwan hanya digunakan jika status halalnya disahkan melalui sijil halal yang diiktiraf. Bahan haiwan Kategori 1 dan Kategori 2 (mengikut definisi ASEAN) tidak digunakan.</t>
        </is>
      </c>
      <c r="C113" s="7" t="inlineStr">
        <is>
          <t>MPPHM 17(1)(b); MS 2634 kl. 4.2*; ACD Annex II no. ruj. 419</t>
        </is>
      </c>
      <c r="D113" s="7" t="inlineStr"/>
      <c r="E113" s="7" t="inlineStr"/>
      <c r="F113" t="inlineStr">
        <is>
          <t>E</t>
        </is>
      </c>
    </row>
    <row r="114">
      <c r="A114" s="7" t="inlineStr">
        <is>
          <t>E20</t>
        </is>
      </c>
      <c r="B114" s="7" t="inlineStr">
        <is>
          <t>Pewarna karmin atau cochineal (CI 75470) disokong dokumen sumber dan spesifikasi, selaras dengan fatwa yang mengharuskan pewarna cochineal yang tidak memudaratkan.</t>
        </is>
      </c>
      <c r="C114" s="7" t="inlineStr">
        <is>
          <t>Fatwa Muzakarah MKI Kali Ke-100 (cochineal); MPPHM 17(1)(d)</t>
        </is>
      </c>
      <c r="D114" s="7" t="inlineStr"/>
      <c r="E114" s="7" t="inlineStr"/>
      <c r="F114" t="inlineStr">
        <is>
          <t>E</t>
        </is>
      </c>
    </row>
    <row r="115">
      <c r="A115" s="7" t="inlineStr">
        <is>
          <t>E21</t>
        </is>
      </c>
      <c r="B115" s="7" t="inlineStr">
        <is>
          <t>Etanol dan alkohol (cth. dalam pewangi, toner, pembersih tangan dan ekstrak tumbuhan berpelarut etanol) bukan diperoleh daripada proses pembuatan arak. Dokumen sumber (sintetik atau fermentasi industri bukan arak) atau sijil halal tersedia.</t>
        </is>
      </c>
      <c r="C115" s="7" t="inlineStr">
        <is>
          <t>Fatwa Muzakarah Khas MKI 2011 (alkohol); MS 2634 kl. 4.2*; MPPHM 17(16)(b)</t>
        </is>
      </c>
      <c r="D115" s="7" t="inlineStr"/>
      <c r="E115" s="7" t="inlineStr"/>
      <c r="F115" t="inlineStr">
        <is>
          <t>E</t>
        </is>
      </c>
    </row>
    <row r="116">
      <c r="A116" s="7" t="inlineStr">
        <is>
          <t>E22</t>
        </is>
      </c>
      <c r="B116" s="7" t="inlineStr">
        <is>
          <t>Tiada bahan yang dihasilkan daripada proses pembuatan arak (cth. ekstrak wain, sake, ampas sake atau bir).</t>
        </is>
      </c>
      <c r="C116" s="7" t="inlineStr">
        <is>
          <t>Fatwa Muzakarah Khas MKI 2011 (alkohol); Perintah Takrif Halal 2011 perenggan 3(1); MS 2634 kl. 4.2*</t>
        </is>
      </c>
      <c r="D116" s="7" t="inlineStr"/>
      <c r="E116" s="7" t="inlineStr"/>
      <c r="F116" t="inlineStr">
        <is>
          <t>E</t>
        </is>
      </c>
    </row>
    <row r="117">
      <c r="A117" s="7" t="inlineStr">
        <is>
          <t>E23</t>
        </is>
      </c>
      <c r="B117" s="7" t="inlineStr">
        <is>
          <t>Bahan daripada mikroorganisma dan bioteknologi (cth. enzim, peptida, 'ferment filtrate', probiotik, faktor pertumbuhan rekombinan): media kultur dan bahan tambahannya bebas daripada bahan tidak halal, dengan dokumen sokongan.</t>
        </is>
      </c>
      <c r="C117" s="7" t="inlineStr">
        <is>
          <t>MS 2634 kl. 4.2*; MPPHM 17(1)(d)</t>
        </is>
      </c>
      <c r="D117" s="7" t="inlineStr"/>
      <c r="E117" s="7" t="inlineStr"/>
      <c r="F117" t="inlineStr">
        <is>
          <t>E</t>
        </is>
      </c>
    </row>
    <row r="118">
      <c r="A118" s="7" t="inlineStr">
        <is>
          <t>E24</t>
        </is>
      </c>
      <c r="B118" s="7" t="inlineStr">
        <is>
          <t>Bahan daripada organisma terubah suai genetik (GMO) tidak mengandungi bahan genetik daripada haiwan yang tidak halal.</t>
        </is>
      </c>
      <c r="C118" s="7" t="inlineStr">
        <is>
          <t>MS 2634 kl. 4.2*; Perintah Takrif Halal 2011 perenggan 3(1)</t>
        </is>
      </c>
      <c r="D118" s="7" t="inlineStr"/>
      <c r="E118" s="7" t="inlineStr"/>
      <c r="F118" t="inlineStr">
        <is>
          <t>E</t>
        </is>
      </c>
    </row>
    <row r="119">
      <c r="A119" s="7" t="inlineStr">
        <is>
          <t>E25</t>
        </is>
      </c>
      <c r="B119" s="7" t="inlineStr">
        <is>
          <t>Wangian dan perisa (cth. bagi ubat gigi atau pelembap bibir) mempunyai deklarasi pembekal tentang komposisi, pelarut dan bahan bersumberkan haiwan (cth. musk atau ambergris haiwan).</t>
        </is>
      </c>
      <c r="C119" s="7" t="inlineStr">
        <is>
          <t>MPPHM 17(1)(d), 17(1)(e); MS 2634 kl. 4.2*</t>
        </is>
      </c>
      <c r="D119" s="7" t="inlineStr"/>
      <c r="E119" s="7" t="inlineStr"/>
      <c r="F119" t="inlineStr">
        <is>
          <t>E</t>
        </is>
      </c>
    </row>
    <row r="120">
      <c r="A120" s="7" t="inlineStr">
        <is>
          <t>E26</t>
        </is>
      </c>
      <c r="B120" s="7" t="inlineStr">
        <is>
          <t>Formulasi tidak mengandungi bahan dalam Senarai Racun (Akta Racun 1952), kecuali yang dikecualikan, atau bahan yang dilarang dalam Annex II (cth. merkuri, tretinoin), selain surih yang tidak dapat dielakkan secara teknikal di bawah GMP. Bahan terhad dalam Annex III tidak melebihi had, dan hanya pewarna, pengawet dan penapis UV yang dibenarkan (Annex IV, VI dan VII) digunakan.</t>
        </is>
      </c>
      <c r="C120" s="7" t="inlineStr">
        <is>
          <t>GKPK 3.3; PKDK 1984 per. 18A(1)(c); ACD Annex II (no. ruj. 221, 375), III, IV, VI, VII; MPPHM 17(1)(i); Perintah Takrif Halal 2011 perenggan 3(1)</t>
        </is>
      </c>
      <c r="D120" s="7" t="inlineStr"/>
      <c r="E120" s="7" t="inlineStr"/>
      <c r="F120" t="inlineStr">
        <is>
          <t>E</t>
        </is>
      </c>
    </row>
    <row r="121">
      <c r="A121" s="4" t="inlineStr">
        <is>
          <t>Bahagian F: Penyimpanan Bahan &amp; Produk</t>
        </is>
      </c>
      <c r="B121" s="5" t="n"/>
      <c r="C121" s="5" t="n"/>
      <c r="D121" s="5" t="n"/>
      <c r="E121" s="6" t="n"/>
    </row>
    <row r="122" ht="26" customHeight="1">
      <c r="A122" s="2" t="inlineStr">
        <is>
          <t>Periksa stor bahan mentah dan pembungkusan, kawasan persampelan dan kuarantin, stor bahan berbahaya, stor produk pukal dan siap, serta stor pihak ketiga (jika ada).</t>
        </is>
      </c>
    </row>
    <row r="123">
      <c r="A123" s="7" t="inlineStr">
        <is>
          <t>F1</t>
        </is>
      </c>
      <c r="B123" s="7" t="inlineStr">
        <is>
          <t>Stor menyimpan bahan dan produk halal sahaja, termasuk produk dagangan.</t>
        </is>
      </c>
      <c r="C123" s="7" t="inlineStr">
        <is>
          <t>MPPHM 17(4)(a); MS 2634 kl. 4.5*</t>
        </is>
      </c>
      <c r="D123" s="7" t="inlineStr"/>
      <c r="E123" s="7" t="inlineStr"/>
      <c r="F123" t="inlineStr">
        <is>
          <t>F</t>
        </is>
      </c>
    </row>
    <row r="124">
      <c r="A124" s="7" t="inlineStr">
        <is>
          <t>F2</t>
        </is>
      </c>
      <c r="B124" s="7" t="inlineStr">
        <is>
          <t>Kawasan penerimaan dan penghantaran melindungi bahan dan produk daripada cuaca, dan bahan yang diterima boleh dibersihkan sebelum disimpan jika perlu.</t>
        </is>
      </c>
      <c r="C124" s="7" t="inlineStr">
        <is>
          <t>GMP Kosmetik 10.1.3</t>
        </is>
      </c>
      <c r="D124" s="7" t="inlineStr"/>
      <c r="E124" s="7" t="inlineStr"/>
      <c r="F124" t="inlineStr">
        <is>
          <t>F</t>
        </is>
      </c>
    </row>
    <row r="125">
      <c r="A125" s="7" t="inlineStr">
        <is>
          <t>F3</t>
        </is>
      </c>
      <c r="B125" s="7" t="inlineStr">
        <is>
          <t>Kawasan persampelan bahan mula direka supaya mencegah pencemaran.</t>
        </is>
      </c>
      <c r="C125" s="7" t="inlineStr">
        <is>
          <t>GMP Kosmetik 10.1.5</t>
        </is>
      </c>
      <c r="D125" s="7" t="inlineStr"/>
      <c r="E125" s="7" t="inlineStr"/>
      <c r="F125" t="inlineStr">
        <is>
          <t>F</t>
        </is>
      </c>
    </row>
    <row r="126">
      <c r="A126" s="7" t="inlineStr">
        <is>
          <t>F4</t>
        </is>
      </c>
      <c r="B126" s="7" t="inlineStr">
        <is>
          <t>Kawasan simpanan berasingan yang mencukupi disediakan bagi bahan mula, bahan pembungkusan, produk perantaraan dan pukal, produk siap, serta bahan atau produk yang ditolak, dipulangkan dan ditarik balik.</t>
        </is>
      </c>
      <c r="C126" s="7" t="inlineStr">
        <is>
          <t>PKDK 1984 per. 20(2); GMP Kosmetik 10.1.1</t>
        </is>
      </c>
      <c r="D126" s="7" t="inlineStr"/>
      <c r="E126" s="7" t="inlineStr"/>
      <c r="F126" t="inlineStr">
        <is>
          <t>F</t>
        </is>
      </c>
    </row>
    <row r="127">
      <c r="A127" s="7" t="inlineStr">
        <is>
          <t>F5</t>
        </is>
      </c>
      <c r="B127" s="7" t="inlineStr">
        <is>
          <t>Bahan mentah, produk siap, sampel R&amp;D, produk yang ditolak, peralatan dan bahan kimia diasingkan dan dilabel, dan barang yang tidak berkaitan tidak disimpan bersama bahan atau produk.</t>
        </is>
      </c>
      <c r="C127" s="7" t="inlineStr">
        <is>
          <t>MPPHM 17(4)(b), 17(4)(c)</t>
        </is>
      </c>
      <c r="D127" s="7" t="inlineStr"/>
      <c r="E127" s="7" t="inlineStr"/>
      <c r="F127" t="inlineStr">
        <is>
          <t>F</t>
        </is>
      </c>
    </row>
    <row r="128">
      <c r="A128" s="7" t="inlineStr">
        <is>
          <t>F6</t>
        </is>
      </c>
      <c r="B128" s="7" t="inlineStr">
        <is>
          <t>Kawasan kuarantin ditanda dengan jelas, dan bahan mudah terbakar, mudah meletup dan sangat toksik disimpan dengan selamat di kawasan khas yang berasingan.</t>
        </is>
      </c>
      <c r="C128" s="7" t="inlineStr">
        <is>
          <t>GMP Kosmetik 3.12.1, 10.1.4, 10.1.6</t>
        </is>
      </c>
      <c r="D128" s="7" t="inlineStr"/>
      <c r="E128" s="7" t="inlineStr"/>
      <c r="F128" t="inlineStr">
        <is>
          <t>F</t>
        </is>
      </c>
    </row>
    <row r="129">
      <c r="A129" s="7" t="inlineStr">
        <is>
          <t>F7</t>
        </is>
      </c>
      <c r="B129" s="7" t="inlineStr">
        <is>
          <t>Stor bersih, kering, teratur, dan mempunyai ruang serta pencahayaan yang mencukupi. Bahan disimpan mengikut sifatnya, dan keadaan khas (suhu, kelembapan, keselamatan) disediakan dan dipantau jika perlu.</t>
        </is>
      </c>
      <c r="C129" s="7" t="inlineStr">
        <is>
          <t>GMP Kosmetik 3.12, 3.12.2, 10.1.2; MPPHM 17(4)(d), 17(4)(e)</t>
        </is>
      </c>
      <c r="D129" s="7" t="inlineStr"/>
      <c r="E129" s="7" t="inlineStr"/>
      <c r="F129" t="inlineStr">
        <is>
          <t>F</t>
        </is>
      </c>
    </row>
    <row r="130">
      <c r="A130" s="7" t="inlineStr">
        <is>
          <t>F8</t>
        </is>
      </c>
      <c r="B130" s="7" t="inlineStr">
        <is>
          <t>Bahan dan produk disusun di atas palet atau rak, tidak terus di atas lantai, supaya mudah dibersihkan.</t>
        </is>
      </c>
      <c r="C130" s="7" t="inlineStr">
        <is>
          <t>MPPHM 17(4)(g), 17(8)(f)</t>
        </is>
      </c>
      <c r="D130" s="7" t="inlineStr"/>
      <c r="E130" s="7" t="inlineStr"/>
      <c r="F130" t="inlineStr">
        <is>
          <t>F</t>
        </is>
      </c>
    </row>
    <row r="131">
      <c r="A131" s="7" t="inlineStr">
        <is>
          <t>F9</t>
        </is>
      </c>
      <c r="B131" s="7" t="inlineStr">
        <is>
          <t>Label dan bahan bercetak disimpan berasingan untuk mengelakkan kekeliruan.</t>
        </is>
      </c>
      <c r="C131" s="7" t="inlineStr">
        <is>
          <t>GMP Kosmetik 3.12.3</t>
        </is>
      </c>
      <c r="D131" s="7" t="inlineStr"/>
      <c r="E131" s="7" t="inlineStr"/>
      <c r="F131" t="inlineStr">
        <is>
          <t>F</t>
        </is>
      </c>
    </row>
    <row r="132">
      <c r="A132" s="7" t="inlineStr">
        <is>
          <t>F10</t>
        </is>
      </c>
      <c r="B132" s="7" t="inlineStr">
        <is>
          <t>Prosedur penyimpanan, rekod penerimaan dan pengeluaran stok, dan penandaan status yang jelas (kuarantin, lulus, tolak) tersedia.</t>
        </is>
      </c>
      <c r="C132" s="7" t="inlineStr">
        <is>
          <t>MPPHM 17(4)(f); GMP Kosmetik 10.2.2.1</t>
        </is>
      </c>
      <c r="D132" s="7" t="inlineStr"/>
      <c r="E132" s="7" t="inlineStr"/>
      <c r="F132" t="inlineStr">
        <is>
          <t>F</t>
        </is>
      </c>
    </row>
    <row r="133">
      <c r="A133" s="7" t="inlineStr">
        <is>
          <t>F11</t>
        </is>
      </c>
      <c r="B133" s="7" t="inlineStr">
        <is>
          <t>Pengeluaran stok mengikut prinsip masuk dahulu, keluar dahulu (FIFO).</t>
        </is>
      </c>
      <c r="C133" s="7" t="inlineStr">
        <is>
          <t>GMP Kosmetik 10.2.2.2</t>
        </is>
      </c>
      <c r="D133" s="7" t="inlineStr"/>
      <c r="E133" s="7" t="inlineStr"/>
      <c r="F133" t="inlineStr">
        <is>
          <t>F</t>
        </is>
      </c>
    </row>
    <row r="134">
      <c r="A134" s="7" t="inlineStr">
        <is>
          <t>F12</t>
        </is>
      </c>
      <c r="B134" s="7" t="inlineStr">
        <is>
          <t>Label dan bekas bahan atau produk tidak diubah, diusik atau ditukar.</t>
        </is>
      </c>
      <c r="C134" s="7" t="inlineStr">
        <is>
          <t>GMP Kosmetik 10.2.2.3</t>
        </is>
      </c>
      <c r="D134" s="7" t="inlineStr"/>
      <c r="E134" s="7" t="inlineStr"/>
      <c r="F134" t="inlineStr">
        <is>
          <t>F</t>
        </is>
      </c>
    </row>
    <row r="135">
      <c r="A135" s="7" t="inlineStr">
        <is>
          <t>F13</t>
        </is>
      </c>
      <c r="B135" s="7" t="inlineStr">
        <is>
          <t>Stor pihak ketiga (jika digunakan): kontrak atau perjanjian bertulis tersedia, dan keutamaan diberi kepada penyedia yang memegang SPHM.</t>
        </is>
      </c>
      <c r="C135" s="7" t="inlineStr">
        <is>
          <t>MPPHM 17(4)(h)</t>
        </is>
      </c>
      <c r="D135" s="7" t="inlineStr"/>
      <c r="E135" s="7" t="inlineStr"/>
      <c r="F135" t="inlineStr">
        <is>
          <t>F</t>
        </is>
      </c>
    </row>
    <row r="136">
      <c r="A136" s="7" t="inlineStr">
        <is>
          <t>F14</t>
        </is>
      </c>
      <c r="B136" s="7" t="inlineStr">
        <is>
          <t>Stor yang tercemar najis mughallazah telah disertu, dengan rekod.</t>
        </is>
      </c>
      <c r="C136" s="7" t="inlineStr">
        <is>
          <t>MPPHM 17(4)(j); MS 2634 Lampiran A*</t>
        </is>
      </c>
      <c r="D136" s="7" t="inlineStr"/>
      <c r="E136" s="7" t="inlineStr"/>
      <c r="F136" t="inlineStr">
        <is>
          <t>F</t>
        </is>
      </c>
    </row>
    <row r="137">
      <c r="A137" s="4" t="inlineStr">
        <is>
          <t>Bahagian G: Penimbangan, Pengeluaran &amp; Pembungkusan</t>
        </is>
      </c>
      <c r="B137" s="5" t="n"/>
      <c r="C137" s="5" t="n"/>
      <c r="D137" s="5" t="n"/>
      <c r="E137" s="6" t="n"/>
    </row>
    <row r="138" ht="26" customHeight="1">
      <c r="A138" s="2" t="inlineStr">
        <is>
          <t>Perhatikan penimbangan, pra-campuran, pemprosesan produk basah dan kering, pengisian serta pelabelan, dan semak formula induk dan rekod kelompok yang sedang berjalan.</t>
        </is>
      </c>
    </row>
    <row r="139">
      <c r="A139" s="7" t="inlineStr">
        <is>
          <t>G1</t>
        </is>
      </c>
      <c r="B139" s="7" t="inlineStr">
        <is>
          <t>Kawasan pemprosesan bersih, teratur dan bebas daripada bahan atau produk tidak halal, dan semua aktiviti pemprosesan memenuhi Hukum Syarak.</t>
        </is>
      </c>
      <c r="C139" s="7" t="inlineStr">
        <is>
          <t>MPPHM 17(3)(a), 17(3)(b), 17(3)(f); MS 2634 kl. 4.5*</t>
        </is>
      </c>
      <c r="D139" s="7" t="inlineStr"/>
      <c r="E139" s="7" t="inlineStr"/>
      <c r="F139" t="inlineStr">
        <is>
          <t>G</t>
        </is>
      </c>
    </row>
    <row r="140">
      <c r="A140" s="7" t="inlineStr">
        <is>
          <t>G2</t>
        </is>
      </c>
      <c r="B140" s="7" t="inlineStr">
        <is>
          <t>Kawasan pemprosesan tidak digunakan untuk tujuan lain tanpa kawalan halal (cth. membuat sampel untuk pelanggan atau produk peribadi pekerja).</t>
        </is>
      </c>
      <c r="C140" s="7" t="inlineStr">
        <is>
          <t>MPPHM 17(3)(c)</t>
        </is>
      </c>
      <c r="D140" s="7" t="inlineStr"/>
      <c r="E140" s="7" t="inlineStr"/>
      <c r="F140" t="inlineStr">
        <is>
          <t>G</t>
        </is>
      </c>
    </row>
    <row r="141">
      <c r="A141" s="7" t="inlineStr">
        <is>
          <t>G3</t>
        </is>
      </c>
      <c r="B141" s="7" t="inlineStr">
        <is>
          <t>Formula induk bagi setiap produk tersedia, mengandungi nama dan kod produk, bahan pembungkusan, keadaan simpanan, senarai bahan, senarai peralatan dan kawalan dalam proses. Senarai bahannya sama dengan senarai bahan dalam notifikasi NPRA dan perisytiharan MYeHALAL.</t>
        </is>
      </c>
      <c r="C141" s="7" t="inlineStr">
        <is>
          <t>GMP Kosmetik 8.3.1; MPPHM 17(1)(g), 18(2)(d)</t>
        </is>
      </c>
      <c r="D141" s="7" t="inlineStr"/>
      <c r="E141" s="7" t="inlineStr"/>
      <c r="F141" t="inlineStr">
        <is>
          <t>G</t>
        </is>
      </c>
    </row>
    <row r="142">
      <c r="A142" s="7" t="inlineStr">
        <is>
          <t>G4</t>
        </is>
      </c>
      <c r="B142" s="7" t="inlineStr">
        <is>
          <t>Hanya bahan mula yang telah diluluskan dan memenuhi spesifikasi digunakan.</t>
        </is>
      </c>
      <c r="C142" s="7" t="inlineStr">
        <is>
          <t>GMP Kosmetik 6.4.1</t>
        </is>
      </c>
      <c r="D142" s="7" t="inlineStr"/>
      <c r="E142" s="7" t="inlineStr"/>
      <c r="F142" t="inlineStr">
        <is>
          <t>G</t>
        </is>
      </c>
    </row>
    <row r="143">
      <c r="A143" s="7" t="inlineStr">
        <is>
          <t>G5</t>
        </is>
      </c>
      <c r="B143" s="7" t="inlineStr">
        <is>
          <t>Penimbangan dibuat di kawasan yang ditetapkan dengan alat yang ditentukur, dan setiap timbangan dan sukatan direkod dan disemak silang.</t>
        </is>
      </c>
      <c r="C143" s="7" t="inlineStr">
        <is>
          <t>GMP Kosmetik 6.3.1, 6.3.2</t>
        </is>
      </c>
      <c r="D143" s="7" t="inlineStr"/>
      <c r="E143" s="7" t="inlineStr"/>
      <c r="F143" t="inlineStr">
        <is>
          <t>G</t>
        </is>
      </c>
    </row>
    <row r="144">
      <c r="A144" s="7" t="inlineStr">
        <is>
          <t>G6</t>
        </is>
      </c>
      <c r="B144" s="7" t="inlineStr">
        <is>
          <t>Bahan yang ditimbang dan pra-campuran (premix) dikenal pasti dengan jelas, dan hanya bahan yang telah diisytiharkan dalam MYeHALAL digunakan dalam penyediaan bahan.</t>
        </is>
      </c>
      <c r="C144" s="7" t="inlineStr">
        <is>
          <t>MS 2634 kl. 4.4*; MPPHM 17(1)(g), 17(2)(d)</t>
        </is>
      </c>
      <c r="D144" s="7" t="inlineStr"/>
      <c r="E144" s="7" t="inlineStr"/>
      <c r="F144" t="inlineStr">
        <is>
          <t>G</t>
        </is>
      </c>
    </row>
    <row r="145">
      <c r="A145" s="7" t="inlineStr">
        <is>
          <t>G7</t>
        </is>
      </c>
      <c r="B145" s="7" t="inlineStr">
        <is>
          <t>Semua aktiviti pengeluaran mengikut prosedur bertulis dan rekod pemprosesan terkini, dan kawalan dalam proses dibuat serta direkodkan.</t>
        </is>
      </c>
      <c r="C145" s="7" t="inlineStr">
        <is>
          <t>GMP Kosmetik 6.4.2, 6.4.3; MPPHM 17(2)(d), 17(3)(e)</t>
        </is>
      </c>
      <c r="D145" s="7" t="inlineStr"/>
      <c r="E145" s="7" t="inlineStr"/>
      <c r="F145" t="inlineStr">
        <is>
          <t>G</t>
        </is>
      </c>
    </row>
    <row r="146">
      <c r="A146" s="7" t="inlineStr">
        <is>
          <t>G8</t>
        </is>
      </c>
      <c r="B146" s="7" t="inlineStr">
        <is>
          <t>Produk pukal dilabel dengan betul sehingga diluluskan QC.</t>
        </is>
      </c>
      <c r="C146" s="7" t="inlineStr">
        <is>
          <t>GMP Kosmetik 6.4.4</t>
        </is>
      </c>
      <c r="D146" s="7" t="inlineStr"/>
      <c r="E146" s="7" t="inlineStr"/>
      <c r="F146" t="inlineStr">
        <is>
          <t>G</t>
        </is>
      </c>
    </row>
    <row r="147">
      <c r="A147" s="7" t="inlineStr">
        <is>
          <t>G9</t>
        </is>
      </c>
      <c r="B147" s="7" t="inlineStr">
        <is>
          <t>Langkah mencegah pencemaran silang dilaksanakan pada setiap peringkat pemprosesan (cth. pembersihan antara kelompok, pengasingan talian).</t>
        </is>
      </c>
      <c r="C147" s="7" t="inlineStr">
        <is>
          <t>GMP Kosmetik 6.4.5</t>
        </is>
      </c>
      <c r="D147" s="7" t="inlineStr"/>
      <c r="E147" s="7" t="inlineStr"/>
      <c r="F147" t="inlineStr">
        <is>
          <t>G</t>
        </is>
      </c>
    </row>
    <row r="148">
      <c r="A148" s="7" t="inlineStr">
        <is>
          <t>G10</t>
        </is>
      </c>
      <c r="B148" s="7" t="inlineStr">
        <is>
          <t>Produk kering (cth. bedak, pembayang mata): sistem pengumpul habuk, vakum berpusat atau kaedah lain yang sesuai digunakan.</t>
        </is>
      </c>
      <c r="C148" s="7" t="inlineStr">
        <is>
          <t>GMP Kosmetik 6.5</t>
        </is>
      </c>
      <c r="D148" s="7" t="inlineStr"/>
      <c r="E148" s="7" t="inlineStr"/>
      <c r="F148" t="inlineStr">
        <is>
          <t>G</t>
        </is>
      </c>
    </row>
    <row r="149">
      <c r="A149" s="7" t="inlineStr">
        <is>
          <t>G11</t>
        </is>
      </c>
      <c r="B149" s="7" t="inlineStr">
        <is>
          <t>Produk basah (cecair, krim, losyen) dikeluarkan dengan perlindungan daripada pencemaran mikrob dan pencemaran lain. Sistem pengeluaran dan pemindahan tertutup digunakan jika boleh, dan saluran paip mudah dibersihkan.</t>
        </is>
      </c>
      <c r="C149" s="7" t="inlineStr">
        <is>
          <t>GMP Kosmetik 6.6.1-6.6.3</t>
        </is>
      </c>
      <c r="D149" s="7" t="inlineStr"/>
      <c r="E149" s="7" t="inlineStr"/>
      <c r="F149" t="inlineStr">
        <is>
          <t>G</t>
        </is>
      </c>
    </row>
    <row r="150">
      <c r="A150" s="7" t="inlineStr">
        <is>
          <t>G12</t>
        </is>
      </c>
      <c r="B150" s="7" t="inlineStr">
        <is>
          <t>Sistem penomboran kelompok adalah khusus bagi setiap produk dan tidak berulang. Nombor kelompok dicetak pada bekas langsung dan pada bungkusan luar (jika boleh), dan rekodnya disimpan.</t>
        </is>
      </c>
      <c r="C150" s="7" t="inlineStr">
        <is>
          <t>GMP Kosmetik 6.2.1-6.2.4</t>
        </is>
      </c>
      <c r="D150" s="7" t="inlineStr"/>
      <c r="E150" s="7" t="inlineStr"/>
      <c r="F150" t="inlineStr">
        <is>
          <t>G</t>
        </is>
      </c>
    </row>
    <row r="151">
      <c r="A151" s="7" t="inlineStr">
        <is>
          <t>G13</t>
        </is>
      </c>
      <c r="B151" s="7" t="inlineStr">
        <is>
          <t>Talian pembungkusan diperiksa (line clearance) sebelum operasi untuk memastikan ia bersih dan semua bahan kelompok terdahulu telah dialihkan. Setiap talian dikenal pasti dengan jelas.</t>
        </is>
      </c>
      <c r="C151" s="7" t="inlineStr">
        <is>
          <t>GMP Kosmetik 6.7.1, 6.7.3</t>
        </is>
      </c>
      <c r="D151" s="7" t="inlineStr"/>
      <c r="E151" s="7" t="inlineStr"/>
      <c r="F151" t="inlineStr">
        <is>
          <t>G</t>
        </is>
      </c>
    </row>
    <row r="152">
      <c r="A152" s="7" t="inlineStr">
        <is>
          <t>G14</t>
        </is>
      </c>
      <c r="B152" s="7" t="inlineStr">
        <is>
          <t>Sampel rawak diperiksa semasa pelabelan dan pembungkusan. Label dan bahan berlebihan dipulangkan ke stor dengan rekod, dan bahan pembungkusan yang ditolak dilupuskan dengan sewajarnya.</t>
        </is>
      </c>
      <c r="C152" s="7" t="inlineStr">
        <is>
          <t>GMP Kosmetik 6.7.2, 6.7.4</t>
        </is>
      </c>
      <c r="D152" s="7" t="inlineStr"/>
      <c r="E152" s="7" t="inlineStr"/>
      <c r="F152" t="inlineStr">
        <is>
          <t>G</t>
        </is>
      </c>
    </row>
    <row r="153">
      <c r="A153" s="7" t="inlineStr">
        <is>
          <t>G15</t>
        </is>
      </c>
      <c r="B153" s="7" t="inlineStr">
        <is>
          <t>Berat atau isipadu bersih produk sepadan dengan yang dinyatakan pada label.</t>
        </is>
      </c>
      <c r="C153" s="7" t="inlineStr">
        <is>
          <t>MPPHM 17(2)(f)</t>
        </is>
      </c>
      <c r="D153" s="7" t="inlineStr"/>
      <c r="E153" s="7" t="inlineStr"/>
      <c r="F153" t="inlineStr">
        <is>
          <t>G</t>
        </is>
      </c>
    </row>
    <row r="154">
      <c r="A154" s="7" t="inlineStr">
        <is>
          <t>G16</t>
        </is>
      </c>
      <c r="B154" s="7" t="inlineStr">
        <is>
          <t>Produk siap mematuhi undang-undang yang berkaitan dengannya: produk yang dikeluarkan sama dengan produk yang dinotifikasikan (formulasi, nama dan varian), dan tiada produk dijual atau dibekalkan sebelum notifikasinya sah.</t>
        </is>
      </c>
      <c r="C154" s="7" t="inlineStr">
        <is>
          <t>MPPHM 17(2)(g); PKDK 1984 per. 18A(1)(a); GKPK 2.9</t>
        </is>
      </c>
      <c r="D154" s="7" t="inlineStr"/>
      <c r="E154" s="7" t="inlineStr"/>
      <c r="F154" t="inlineStr">
        <is>
          <t>G</t>
        </is>
      </c>
    </row>
    <row r="155">
      <c r="A155" s="7" t="inlineStr">
        <is>
          <t>G17</t>
        </is>
      </c>
      <c r="B155" s="7" t="inlineStr">
        <is>
          <t>Produk tidak berbentuk atau menyerupai haiwan najis mughallazah (cth. sabun atau bekas berbentuk babi atau anjing), dan tidak mengandungi unsur keagamaan atau implikasi negatif.</t>
        </is>
      </c>
      <c r="C155" s="7" t="inlineStr">
        <is>
          <t>MPPHM 17(2)(a)</t>
        </is>
      </c>
      <c r="D155" s="7" t="inlineStr"/>
      <c r="E155" s="7" t="inlineStr"/>
      <c r="F155" t="inlineStr">
        <is>
          <t>G</t>
        </is>
      </c>
    </row>
    <row r="156">
      <c r="A156" s="7" t="inlineStr">
        <is>
          <t>G18</t>
        </is>
      </c>
      <c r="B156" s="7" t="inlineStr">
        <is>
          <t>Makmal R&amp;D dan pembangunan sampel: status halal bahan yang digunakan dinilai sebelum digunakan.</t>
        </is>
      </c>
      <c r="C156" s="7" t="inlineStr">
        <is>
          <t>MHMS 5(6)</t>
        </is>
      </c>
      <c r="D156" s="7" t="inlineStr"/>
      <c r="E156" s="7" t="inlineStr"/>
      <c r="F156" t="inlineStr">
        <is>
          <t>G</t>
        </is>
      </c>
    </row>
    <row r="157">
      <c r="A157" s="4" t="inlineStr">
        <is>
          <t>Bahagian H: Peralatan, Utiliti &amp; Bahan Bantu Pemprosesan</t>
        </is>
      </c>
      <c r="B157" s="5" t="n"/>
      <c r="C157" s="5" t="n"/>
      <c r="D157" s="5" t="n"/>
      <c r="E157" s="6" t="n"/>
    </row>
    <row r="158" ht="26" customHeight="1">
      <c r="A158" s="2" t="inlineStr">
        <is>
          <t>Periksa mesin pemprosesan dan pengisian, perkakas, berus, alat timbang dan sukat, utiliti sokongan, serta pelincir dan agen pelepas yang digunakan.</t>
        </is>
      </c>
    </row>
    <row r="159">
      <c r="A159" s="7" t="inlineStr">
        <is>
          <t>H1</t>
        </is>
      </c>
      <c r="B159" s="7" t="inlineStr">
        <is>
          <t>Peralatan dan perkakas digunakan untuk bahan dan produk halal sahaja. Peralatan terpakai, atau yang dipindahkan dari kilang lain, disahkan tidak pernah digunakan untuk bahan tidak halal.</t>
        </is>
      </c>
      <c r="C159" s="7" t="inlineStr">
        <is>
          <t>MPPHM 17(5)(a); MS 2634 kl. 4.5*</t>
        </is>
      </c>
      <c r="D159" s="7" t="inlineStr"/>
      <c r="E159" s="7" t="inlineStr"/>
      <c r="F159" t="inlineStr">
        <is>
          <t>H</t>
        </is>
      </c>
    </row>
    <row r="160">
      <c r="A160" s="7" t="inlineStr">
        <is>
          <t>H2</t>
        </is>
      </c>
      <c r="B160" s="7" t="inlineStr">
        <is>
          <t>Tiada peralatan yang berlabel atau berimplikasi negatif (cth. berjenama arak).</t>
        </is>
      </c>
      <c r="C160" s="7" t="inlineStr">
        <is>
          <t>MPPHM 17(5)(b)</t>
        </is>
      </c>
      <c r="D160" s="7" t="inlineStr"/>
      <c r="E160" s="7" t="inlineStr"/>
      <c r="F160" t="inlineStr">
        <is>
          <t>H</t>
        </is>
      </c>
    </row>
    <row r="161">
      <c r="A161" s="7" t="inlineStr">
        <is>
          <t>H3</t>
        </is>
      </c>
      <c r="B161" s="7" t="inlineStr">
        <is>
          <t>Status halal peralatan bersumberkan haiwan disahkan. Tiada berus daripada bulu babi ('boar bristle') digunakan untuk pemprosesan, pengisian atau pembersihan.</t>
        </is>
      </c>
      <c r="C161" s="7" t="inlineStr">
        <is>
          <t>MPPHM 17(5)(c); MS 2634 kl. 4.5*</t>
        </is>
      </c>
      <c r="D161" s="7" t="inlineStr"/>
      <c r="E161" s="7" t="inlineStr"/>
      <c r="F161" t="inlineStr">
        <is>
          <t>H</t>
        </is>
      </c>
    </row>
    <row r="162">
      <c r="A162" s="7" t="inlineStr">
        <is>
          <t>H4</t>
        </is>
      </c>
      <c r="B162" s="7" t="inlineStr">
        <is>
          <t>Permukaan yang bersentuhan dengan produk tidak bertindak balas dengan atau menyerap bahan. Peralatan sesuai untuk tujuannya, mudah dibersihkan, dan tidak mencemarkan produk melalui kebocoran injap atau titisan pelincir.</t>
        </is>
      </c>
      <c r="C162" s="7" t="inlineStr">
        <is>
          <t>GMP Kosmetik 4.1.1-4.1.3; PKDK 1984 per. 21(1); MPPHM 17(5)(g)</t>
        </is>
      </c>
      <c r="D162" s="7" t="inlineStr"/>
      <c r="E162" s="7" t="inlineStr"/>
      <c r="F162" t="inlineStr">
        <is>
          <t>H</t>
        </is>
      </c>
    </row>
    <row r="163">
      <c r="A163" s="7" t="inlineStr">
        <is>
          <t>H5</t>
        </is>
      </c>
      <c r="B163" s="7" t="inlineStr">
        <is>
          <t>Peralatan untuk bahan mudah terbakar (cth. dalam pengeluaran pewangi beretanol) kalis letupan.</t>
        </is>
      </c>
      <c r="C163" s="7" t="inlineStr">
        <is>
          <t>GMP Kosmetik 4.1.4</t>
        </is>
      </c>
      <c r="D163" s="7" t="inlineStr"/>
      <c r="E163" s="7" t="inlineStr"/>
      <c r="F163" t="inlineStr">
        <is>
          <t>H</t>
        </is>
      </c>
    </row>
    <row r="164">
      <c r="A164" s="7" t="inlineStr">
        <is>
          <t>H6</t>
        </is>
      </c>
      <c r="B164" s="7" t="inlineStr">
        <is>
          <t>Peralatan diletakkan supaya tidak sesak, dan dikenal pasti dengan jelas supaya tidak menimbulkan kekeliruan produk.</t>
        </is>
      </c>
      <c r="C164" s="7" t="inlineStr">
        <is>
          <t>GMP Kosmetik 4.2.1</t>
        </is>
      </c>
      <c r="D164" s="7" t="inlineStr"/>
      <c r="E164" s="7" t="inlineStr"/>
      <c r="F164" t="inlineStr">
        <is>
          <t>H</t>
        </is>
      </c>
    </row>
    <row r="165">
      <c r="A165" s="7" t="inlineStr">
        <is>
          <t>H7</t>
        </is>
      </c>
      <c r="B165" s="7" t="inlineStr">
        <is>
          <t>Utiliti sokongan (HVAC, air, wap, udara termampat, gas) berfungsi seperti yang direka. Talian air, wap, tekanan dan vakum mudah dicapai dan dikenal pasti dengan jelas.</t>
        </is>
      </c>
      <c r="C165" s="7" t="inlineStr">
        <is>
          <t>GMP Kosmetik 4.2.2, 4.2.3</t>
        </is>
      </c>
      <c r="D165" s="7" t="inlineStr"/>
      <c r="E165" s="7" t="inlineStr"/>
      <c r="F165" t="inlineStr">
        <is>
          <t>H</t>
        </is>
      </c>
    </row>
    <row r="166">
      <c r="A166" s="7" t="inlineStr">
        <is>
          <t>H8</t>
        </is>
      </c>
      <c r="B166" s="7" t="inlineStr">
        <is>
          <t>Peralatan dalam keadaan baik, bersih, bebas najis, tidak toksik atau berkarat, dan tidak memberi kesan sampingan kepada produk.</t>
        </is>
      </c>
      <c r="C166" s="7" t="inlineStr">
        <is>
          <t>MPPHM 17(5)(d)</t>
        </is>
      </c>
      <c r="D166" s="7" t="inlineStr"/>
      <c r="E166" s="7" t="inlineStr"/>
      <c r="F166" t="inlineStr">
        <is>
          <t>H</t>
        </is>
      </c>
    </row>
    <row r="167">
      <c r="A167" s="7" t="inlineStr">
        <is>
          <t>H9</t>
        </is>
      </c>
      <c r="B167" s="7" t="inlineStr">
        <is>
          <t>Peralatan dibersihkan, disanitasi dan diselenggara mengikut SOP dan jadual bertulis, dan rekodnya disimpan. Kaedah vakum atau basah diutamakan, manakala penggunaan udara termampat dan berus dielakkan.</t>
        </is>
      </c>
      <c r="C167" s="7" t="inlineStr">
        <is>
          <t>MPPHM 17(5)(e); PKDK 1984 per. 21(2); GMP Kosmetik 5.3.1-5.3.3</t>
        </is>
      </c>
      <c r="D167" s="7" t="inlineStr"/>
      <c r="E167" s="7" t="inlineStr"/>
      <c r="F167" t="inlineStr">
        <is>
          <t>H</t>
        </is>
      </c>
    </row>
    <row r="168">
      <c r="A168" s="7" t="inlineStr">
        <is>
          <t>H10</t>
        </is>
      </c>
      <c r="B168" s="7" t="inlineStr">
        <is>
          <t>Alat timbang, sukat, uji dan rekod diselenggara dan ditentukur secara berkala, dengan rekod.</t>
        </is>
      </c>
      <c r="C168" s="7" t="inlineStr">
        <is>
          <t>GMP Kosmetik 4.3; PKDK 1984 per. 21(2)</t>
        </is>
      </c>
      <c r="D168" s="7" t="inlineStr"/>
      <c r="E168" s="7" t="inlineStr"/>
      <c r="F168" t="inlineStr">
        <is>
          <t>H</t>
        </is>
      </c>
    </row>
    <row r="169">
      <c r="A169" s="7" t="inlineStr">
        <is>
          <t>H11</t>
        </is>
      </c>
      <c r="B169" s="7" t="inlineStr">
        <is>
          <t>Peralatan yang rosak atau tidak digunakan dikenal pasti, dialihkan atau diasingkan.</t>
        </is>
      </c>
      <c r="C169" s="7" t="inlineStr">
        <is>
          <t>MPPHM 17(5)(f)</t>
        </is>
      </c>
      <c r="D169" s="7" t="inlineStr"/>
      <c r="E169" s="7" t="inlineStr"/>
      <c r="F169" t="inlineStr">
        <is>
          <t>H</t>
        </is>
      </c>
    </row>
    <row r="170">
      <c r="A170" s="7" t="inlineStr">
        <is>
          <t>H12</t>
        </is>
      </c>
      <c r="B170" s="7" t="inlineStr">
        <is>
          <t>Pelincir mesin, gris, agen pelepas acuan (cth. bagi sabun atau gincu) dan agen antibuih yang mungkin bersentuhan dengan produk berasal daripada sumber halal, tersenarai dalam senarai induk bahan dan didokumenkan.</t>
        </is>
      </c>
      <c r="C170" s="7" t="inlineStr">
        <is>
          <t>MHMS 5(7); MS 2634 kl. 4.5*</t>
        </is>
      </c>
      <c r="D170" s="7" t="inlineStr"/>
      <c r="E170" s="7" t="inlineStr"/>
      <c r="F170" t="inlineStr">
        <is>
          <t>H</t>
        </is>
      </c>
    </row>
    <row r="171">
      <c r="A171" s="7" t="inlineStr">
        <is>
          <t>H13</t>
        </is>
      </c>
      <c r="B171" s="7" t="inlineStr">
        <is>
          <t>Peralatan yang tercemar najis mughallazah disertu mengikut kaedah yang ditetapkan, dan rekod sertu disimpan.</t>
        </is>
      </c>
      <c r="C171" s="7" t="inlineStr">
        <is>
          <t>MPPHM 17(5)(h); MHMS 5(12); MS 2634 Lampiran A*</t>
        </is>
      </c>
      <c r="D171" s="7" t="inlineStr"/>
      <c r="E171" s="7" t="inlineStr"/>
      <c r="F171" t="inlineStr">
        <is>
          <t>H</t>
        </is>
      </c>
    </row>
    <row r="172">
      <c r="A172" s="4" t="inlineStr">
        <is>
          <t>Bahagian I: Kawalan Kualiti, Makmal &amp; Analisis Halal</t>
        </is>
      </c>
      <c r="B172" s="5" t="n"/>
      <c r="C172" s="5" t="n"/>
      <c r="D172" s="5" t="n"/>
      <c r="E172" s="6" t="n"/>
    </row>
    <row r="173" ht="26" customHeight="1">
      <c r="A173" s="2" t="inlineStr">
        <is>
          <t>Periksa makmal QC, spesifikasi dan rekod ujian, pelepasan produk, pengendalian produk yang diproses semula dan dipulangkan, serta prosedur dan laporan analisis halal.</t>
        </is>
      </c>
    </row>
    <row r="174">
      <c r="A174" s="7" t="inlineStr">
        <is>
          <t>I1</t>
        </is>
      </c>
      <c r="B174" s="7" t="inlineStr">
        <is>
          <t>Makmal QC dipisahkan secara fizikal daripada kawasan pengeluaran.</t>
        </is>
      </c>
      <c r="C174" s="7" t="inlineStr">
        <is>
          <t>GMP Kosmetik 3.11</t>
        </is>
      </c>
      <c r="D174" s="7" t="inlineStr"/>
      <c r="E174" s="7" t="inlineStr"/>
      <c r="F174" t="inlineStr">
        <is>
          <t>I</t>
        </is>
      </c>
    </row>
    <row r="175">
      <c r="A175" s="7" t="inlineStr">
        <is>
          <t>I2</t>
        </is>
      </c>
      <c r="B175" s="7" t="inlineStr">
        <is>
          <t>Jabatan QC berada di bawah penyeliaan orang yang berkelayakan dan mempunyai kemudahan yang mencukupi. Jabatan ini mengawal semua bahan, memantau setiap langkah pengeluaran, dan mengawal kualiti serta kestabilan produk siap.</t>
        </is>
      </c>
      <c r="C175" s="7" t="inlineStr">
        <is>
          <t>PKDK 1984 per. 23; GMP Kosmetik 7.1.1</t>
        </is>
      </c>
      <c r="D175" s="7" t="inlineStr"/>
      <c r="E175" s="7" t="inlineStr"/>
      <c r="F175" t="inlineStr">
        <is>
          <t>I</t>
        </is>
      </c>
    </row>
    <row r="176">
      <c r="A176" s="7" t="inlineStr">
        <is>
          <t>I3</t>
        </is>
      </c>
      <c r="B176" s="7" t="inlineStr">
        <is>
          <t>Persampelan, pemeriksaan dan ujian dibuat ke atas bahan mula, bahan dalam proses, produk perantaraan, produk pukal dan produk siap. Pemantauan persekitaran, sampel simpanan dan kajian kestabilan dibuat mengikut keperluan.</t>
        </is>
      </c>
      <c r="C176" s="7" t="inlineStr">
        <is>
          <t>GMP Kosmetik 7.1.2</t>
        </is>
      </c>
      <c r="D176" s="7" t="inlineStr"/>
      <c r="E176" s="7" t="inlineStr"/>
      <c r="F176" t="inlineStr">
        <is>
          <t>I</t>
        </is>
      </c>
    </row>
    <row r="177">
      <c r="A177" s="7" t="inlineStr">
        <is>
          <t>I4</t>
        </is>
      </c>
      <c r="B177" s="7" t="inlineStr">
        <is>
          <t>Spesifikasi bahan mentah dan pembungkusan (nama, keterangan, parameter ujian dan had penerimaan, langkah berjaga-jaga) serta spesifikasi produk pukal dan siap diluluskan oleh orang yang diberi kuasa.</t>
        </is>
      </c>
      <c r="C177" s="7" t="inlineStr">
        <is>
          <t>GMP Kosmetik 8.2, 8.2.1, 8.2.2</t>
        </is>
      </c>
      <c r="D177" s="7" t="inlineStr"/>
      <c r="E177" s="7" t="inlineStr"/>
      <c r="F177" t="inlineStr">
        <is>
          <t>I</t>
        </is>
      </c>
    </row>
    <row r="178">
      <c r="A178" s="7" t="inlineStr">
        <is>
          <t>I5</t>
        </is>
      </c>
      <c r="B178" s="7" t="inlineStr">
        <is>
          <t>Rekod QC mendokumenkan hasil ujian dan keputusan lulus atau tolak bagi setiap bahan dan produk, termasuk tarikh ujian, pembekal, tarikh terima, nombor kelompok, kuantiti dan tarikh persampelan.</t>
        </is>
      </c>
      <c r="C178" s="7" t="inlineStr">
        <is>
          <t>GMP Kosmetik 8.3.3</t>
        </is>
      </c>
      <c r="D178" s="7" t="inlineStr"/>
      <c r="E178" s="7" t="inlineStr"/>
      <c r="F178" t="inlineStr">
        <is>
          <t>I</t>
        </is>
      </c>
    </row>
    <row r="179">
      <c r="A179" s="7" t="inlineStr">
        <is>
          <t>I6</t>
        </is>
      </c>
      <c r="B179" s="7" t="inlineStr">
        <is>
          <t>Semua produk siap diluluskan oleh QC sebelum dilepaskan.</t>
        </is>
      </c>
      <c r="C179" s="7" t="inlineStr">
        <is>
          <t>GMP Kosmetik 6.8.1</t>
        </is>
      </c>
      <c r="D179" s="7" t="inlineStr"/>
      <c r="E179" s="7" t="inlineStr"/>
      <c r="F179" t="inlineStr">
        <is>
          <t>I</t>
        </is>
      </c>
    </row>
    <row r="180">
      <c r="A180" s="7" t="inlineStr">
        <is>
          <t>I7</t>
        </is>
      </c>
      <c r="B180" s="7" t="inlineStr">
        <is>
          <t>Keputusan ujian produk siap menunjukkan pematuhan had logam berat dan had mikrobiologi. Had logam berat: merkuri tidak melebihi 1 ppm, plumbum 20 ppm, arsenik 5 ppm dan kadmium 5 ppm. Had jumlah kiraan aerobik: tidak melebihi 500 cfu/g atau ml bagi produk untuk kanak-kanak bawah 3 tahun, kawasan mata dan membran mukus, dan tidak melebihi 1000 cfu/g atau ml bagi produk lain. Patogen tertentu tiada dalam 0.1 g atau ml.</t>
        </is>
      </c>
      <c r="C180" s="7" t="inlineStr">
        <is>
          <t>GKPK Annex I Part 14</t>
        </is>
      </c>
      <c r="D180" s="7" t="inlineStr"/>
      <c r="E180" s="7" t="inlineStr"/>
      <c r="F180" t="inlineStr">
        <is>
          <t>I</t>
        </is>
      </c>
    </row>
    <row r="181">
      <c r="A181" s="7" t="inlineStr">
        <is>
          <t>I8</t>
        </is>
      </c>
      <c r="B181" s="7" t="inlineStr">
        <is>
          <t>Pembersih tangan beralkohol untuk kebersihan tangan am yang dinotifikasikan sebagai kosmetik (jika dikeluarkan): spesifikasi dan keputusan ujian menunjukkan kandungan sekurang-kurangnya 60% v/v alkohol (etanol dan/atau isopropil alkohol). Pembasmi kuman tangan untuk kegunaan pengamal kesihatan di fasiliti kesihatan dikelaskan sebagai ubat (OTC) dan tidak dimasukkan dalam permohonan ini.</t>
        </is>
      </c>
      <c r="C181" s="7" t="inlineStr">
        <is>
          <t>GKPK Annex I Part 9(ii) s. 3, 4.1</t>
        </is>
      </c>
      <c r="D181" s="7" t="inlineStr"/>
      <c r="E181" s="7" t="inlineStr"/>
      <c r="F181" t="inlineStr">
        <is>
          <t>I</t>
        </is>
      </c>
    </row>
    <row r="182">
      <c r="A182" s="7" t="inlineStr">
        <is>
          <t>I9</t>
        </is>
      </c>
      <c r="B182" s="7" t="inlineStr">
        <is>
          <t>Pemprosesan semula dinilai supaya tidak menjejaskan kualiti produk, produk yang diproses semula diuji tambahan, dan hanya bahan halal yang diisytiharkan digunakan.</t>
        </is>
      </c>
      <c r="C182" s="7" t="inlineStr">
        <is>
          <t>GMP Kosmetik 7.2.1, 7.2.2; MPPHM 17(1)(g)</t>
        </is>
      </c>
      <c r="D182" s="7" t="inlineStr"/>
      <c r="E182" s="7" t="inlineStr"/>
      <c r="F182" t="inlineStr">
        <is>
          <t>I</t>
        </is>
      </c>
    </row>
    <row r="183">
      <c r="A183" s="7" t="inlineStr">
        <is>
          <t>I10</t>
        </is>
      </c>
      <c r="B183" s="7" t="inlineStr">
        <is>
          <t>Produk yang dipulangkan dikenal pasti, disimpan berasingan, dan dinilai atau diuji sebelum diedarkan semula. Produk yang tidak mematuhi ditolak dan dilupuskan, dan rekod produk dipulangkan disimpan.</t>
        </is>
      </c>
      <c r="C183" s="7" t="inlineStr">
        <is>
          <t>GMP Kosmetik 7.3.1-7.3.5</t>
        </is>
      </c>
      <c r="D183" s="7" t="inlineStr"/>
      <c r="E183" s="7" t="inlineStr"/>
      <c r="F183" t="inlineStr">
        <is>
          <t>I</t>
        </is>
      </c>
    </row>
    <row r="184">
      <c r="A184" s="7" t="inlineStr">
        <is>
          <t>I11</t>
        </is>
      </c>
      <c r="B184" s="7" t="inlineStr">
        <is>
          <t>HAS: prosedur analisis makmal bertulis tersedia, dan produk yang mengandungi bahan kritikal halal (cth. bahan bersumberkan haiwan, gliserin, kolagen, etanol) diberi keutamaan untuk dianalisis.</t>
        </is>
      </c>
      <c r="C184" s="7" t="inlineStr">
        <is>
          <t>MHMS 5(11)</t>
        </is>
      </c>
      <c r="D184" s="7" t="inlineStr"/>
      <c r="E184" s="7" t="inlineStr"/>
      <c r="F184" t="inlineStr">
        <is>
          <t>I</t>
        </is>
      </c>
    </row>
    <row r="185">
      <c r="A185" s="7" t="inlineStr">
        <is>
          <t>I12</t>
        </is>
      </c>
      <c r="B185" s="7" t="inlineStr">
        <is>
          <t>Analisis halal (cth. DNA spesies, kandungan alkohol, profil protein atau lemak) dibuat apabila perlu di MyHAC, Jabatan Kimia Malaysia atau makmal Panel Halal yang dilantik JAKIM, dan laporan analisis disimpan.</t>
        </is>
      </c>
      <c r="C185" s="7" t="inlineStr">
        <is>
          <t>MHMS 5(11)</t>
        </is>
      </c>
      <c r="D185" s="7" t="inlineStr"/>
      <c r="E185" s="7" t="inlineStr"/>
      <c r="F185" t="inlineStr">
        <is>
          <t>I</t>
        </is>
      </c>
    </row>
    <row r="186">
      <c r="A186" s="7" t="inlineStr">
        <is>
          <t>I13</t>
        </is>
      </c>
      <c r="B186" s="7" t="inlineStr">
        <is>
          <t>Pengesanan DNA babi dalam produk kosmetik (pepejal, separa pepejal atau cecair) menggunakan kaedah qPCR dalam MS 2627-2:2025 atau kaedah lain yang telah disahkan oleh makmal.</t>
        </is>
      </c>
      <c r="C186" s="7" t="inlineStr">
        <is>
          <t>MS 2627-2; MHMS 5(11)</t>
        </is>
      </c>
      <c r="D186" s="7" t="inlineStr"/>
      <c r="E186" s="7" t="inlineStr"/>
      <c r="F186" t="inlineStr">
        <is>
          <t>I</t>
        </is>
      </c>
    </row>
    <row r="187">
      <c r="A187" s="7" t="inlineStr">
        <is>
          <t>I14</t>
        </is>
      </c>
      <c r="B187" s="7" t="inlineStr">
        <is>
          <t>Keputusan analisis yang positif (cth. DNA babi) disiasat, dan kelompok yang terlibat diasingkan. Tindakan pembetulan, termasuk penarikan balik produk, diambil dan direkodkan.</t>
        </is>
      </c>
      <c r="C187" s="7" t="inlineStr">
        <is>
          <t>MHMS 5(9), 5(11)</t>
        </is>
      </c>
      <c r="D187" s="7" t="inlineStr"/>
      <c r="E187" s="7" t="inlineStr"/>
      <c r="F187" t="inlineStr">
        <is>
          <t>I</t>
        </is>
      </c>
    </row>
    <row r="188">
      <c r="A188" s="4" t="inlineStr">
        <is>
          <t>Bahagian J: Kebersihan, Sanitasi, Kawalan Perosak &amp; Sisa</t>
        </is>
      </c>
      <c r="B188" s="5" t="n"/>
      <c r="C188" s="5" t="n"/>
      <c r="D188" s="5" t="n"/>
      <c r="E188" s="6" t="n"/>
    </row>
    <row r="189" ht="26" customHeight="1">
      <c r="A189" s="2" t="inlineStr">
        <is>
          <t>Periksa tahap kebersihan keseluruhan, bahan pencuci dan stornya, rekod kawalan perosak, kemudahan basuh tangan, tandas, serta tong dan kawasan sisa.</t>
        </is>
      </c>
    </row>
    <row r="190">
      <c r="A190" s="7" t="inlineStr">
        <is>
          <t>J1</t>
        </is>
      </c>
      <c r="B190" s="7" t="inlineStr">
        <is>
          <t>Program sanitasi bertulis dan jadual pembersihan premis tersedia, dan rekod menunjukkan pembersihan dibuat mengikut jadual.</t>
        </is>
      </c>
      <c r="C190" s="7" t="inlineStr">
        <is>
          <t>PKDK 1984 per. 20(3); MPPHM 17(10)(a); MS 2634 kl. 4.3*</t>
        </is>
      </c>
      <c r="D190" s="7" t="inlineStr"/>
      <c r="E190" s="7" t="inlineStr"/>
      <c r="F190" t="inlineStr">
        <is>
          <t>J</t>
        </is>
      </c>
    </row>
    <row r="191">
      <c r="A191" s="7" t="inlineStr">
        <is>
          <t>J2</t>
        </is>
      </c>
      <c r="B191" s="7" t="inlineStr">
        <is>
          <t>Persekitaran luar premis bersih dan bebas daripada faktor pencemaran.</t>
        </is>
      </c>
      <c r="C191" s="7" t="inlineStr">
        <is>
          <t>MPPHM 17(10)(b)</t>
        </is>
      </c>
      <c r="D191" s="7" t="inlineStr"/>
      <c r="E191" s="7" t="inlineStr"/>
      <c r="F191" t="inlineStr">
        <is>
          <t>J</t>
        </is>
      </c>
    </row>
    <row r="192">
      <c r="A192" s="7" t="inlineStr">
        <is>
          <t>J3</t>
        </is>
      </c>
      <c r="B192" s="7" t="inlineStr">
        <is>
          <t>Bahan pencuci dan sanitasi (sabun, detergen, disinfektan, alkohol pembersih) bebas daripada bahan bersumberkan babi atau najis, dan status halalnya didokumenkan.</t>
        </is>
      </c>
      <c r="C192" s="7" t="inlineStr">
        <is>
          <t>MS 2634 kl. 4.3*; MHMS 5(6)</t>
        </is>
      </c>
      <c r="D192" s="7" t="inlineStr"/>
      <c r="E192" s="7" t="inlineStr"/>
      <c r="F192" t="inlineStr">
        <is>
          <t>J</t>
        </is>
      </c>
    </row>
    <row r="193">
      <c r="A193" s="7" t="inlineStr">
        <is>
          <t>J4</t>
        </is>
      </c>
      <c r="B193" s="7" t="inlineStr">
        <is>
          <t>Bahan pencuci, disinfektan, racun perosak dan bahan kimia toksik dilabel dan disimpan berasingan dengan kawalan, bukan di kawasan pengeluaran atau di stor bahan.</t>
        </is>
      </c>
      <c r="C193" s="7" t="inlineStr">
        <is>
          <t>MPPHM 17(3)(g)</t>
        </is>
      </c>
      <c r="D193" s="7" t="inlineStr"/>
      <c r="E193" s="7" t="inlineStr"/>
      <c r="F193" t="inlineStr">
        <is>
          <t>J</t>
        </is>
      </c>
    </row>
    <row r="194">
      <c r="A194" s="7" t="inlineStr">
        <is>
          <t>J5</t>
        </is>
      </c>
      <c r="B194" s="7" t="inlineStr">
        <is>
          <t>Kawalan perosak dibuat secara berkala, oleh kontraktor atau secara dalaman, dan direkodkan (laporan rawatan, pelan umpan atau perangkap). Tiada tanda kehadiran perosak.</t>
        </is>
      </c>
      <c r="C194" s="7" t="inlineStr">
        <is>
          <t>MPPHM 17(10)(c)</t>
        </is>
      </c>
      <c r="D194" s="7" t="inlineStr"/>
      <c r="E194" s="7" t="inlineStr"/>
      <c r="F194" t="inlineStr">
        <is>
          <t>J</t>
        </is>
      </c>
    </row>
    <row r="195">
      <c r="A195" s="7" t="inlineStr">
        <is>
          <t>J6</t>
        </is>
      </c>
      <c r="B195" s="7" t="inlineStr">
        <is>
          <t>Racun tikus, racun serangga, agen fumigasi dan bahan sanitasi tidak mencemarkan peralatan, bahan mentah, bahan pembungkusan, bahan dalam proses atau produk siap.</t>
        </is>
      </c>
      <c r="C195" s="7" t="inlineStr">
        <is>
          <t>GMP Kosmetik 5.2.4</t>
        </is>
      </c>
      <c r="D195" s="7" t="inlineStr"/>
      <c r="E195" s="7" t="inlineStr"/>
      <c r="F195" t="inlineStr">
        <is>
          <t>J</t>
        </is>
      </c>
    </row>
    <row r="196">
      <c r="A196" s="7" t="inlineStr">
        <is>
          <t>J7</t>
        </is>
      </c>
      <c r="B196" s="7" t="inlineStr">
        <is>
          <t>Kemudahan basuh tangan mencukupi dan berfungsi, dengan sabun dan tisu atau pengering tangan.</t>
        </is>
      </c>
      <c r="C196" s="7" t="inlineStr">
        <is>
          <t>MPPHM 17(10)(d)</t>
        </is>
      </c>
      <c r="D196" s="7" t="inlineStr"/>
      <c r="E196" s="7" t="inlineStr"/>
      <c r="F196" t="inlineStr">
        <is>
          <t>J</t>
        </is>
      </c>
    </row>
    <row r="197">
      <c r="A197" s="7" t="inlineStr">
        <is>
          <t>J8</t>
        </is>
      </c>
      <c r="B197" s="7" t="inlineStr">
        <is>
          <t>Tandas dan kemudahan basuh mencukupi, bersih, tidak berbau dan berpengudaraan baik. Ia diasingkan daripada kawasan pengeluaran dan tidak membuka terus ke kawasan pemprosesan. Prosedur pembersihan tandas tersedia.</t>
        </is>
      </c>
      <c r="C197" s="7" t="inlineStr">
        <is>
          <t>MPPHM 17(10)(f); GMP Kosmetik 3.4, 5.2.1</t>
        </is>
      </c>
      <c r="D197" s="7" t="inlineStr"/>
      <c r="E197" s="7" t="inlineStr"/>
      <c r="F197" t="inlineStr">
        <is>
          <t>J</t>
        </is>
      </c>
    </row>
    <row r="198">
      <c r="A198" s="7" t="inlineStr">
        <is>
          <t>J9</t>
        </is>
      </c>
      <c r="B198" s="7" t="inlineStr">
        <is>
          <t>Tong sampah mencukupi dan bertutup (jenis injak kaki digalakkan). Sisa dikumpul secara berkala dalam bekas yang sesuai dan dibawa keluar dari kawasan pengeluaran.</t>
        </is>
      </c>
      <c r="C198" s="7" t="inlineStr">
        <is>
          <t>MPPHM 17(10)(e); GMP Kosmetik 5.2.3</t>
        </is>
      </c>
      <c r="D198" s="7" t="inlineStr"/>
      <c r="E198" s="7" t="inlineStr"/>
      <c r="F198" t="inlineStr">
        <is>
          <t>J</t>
        </is>
      </c>
    </row>
    <row r="199">
      <c r="A199" s="7" t="inlineStr">
        <is>
          <t>J10</t>
        </is>
      </c>
      <c r="B199" s="7" t="inlineStr">
        <is>
          <t>Sisa (termasuk produk yang ditolak dan sisa kimia) dilupuskan mengikut prosedur dan undang-undang.</t>
        </is>
      </c>
      <c r="C199" s="7" t="inlineStr">
        <is>
          <t>MPPHM 17(10)(g)</t>
        </is>
      </c>
      <c r="D199" s="7" t="inlineStr"/>
      <c r="E199" s="7" t="inlineStr"/>
      <c r="F199" t="inlineStr">
        <is>
          <t>J</t>
        </is>
      </c>
    </row>
    <row r="200">
      <c r="A200" s="4" t="inlineStr">
        <is>
          <t>Bahagian K: Pekerja, Latihan &amp; Kemudahan</t>
        </is>
      </c>
      <c r="B200" s="5" t="n"/>
      <c r="C200" s="5" t="n"/>
      <c r="D200" s="5" t="n"/>
      <c r="E200" s="6" t="n"/>
    </row>
    <row r="201" ht="26" customHeight="1">
      <c r="A201" s="2" t="inlineStr">
        <is>
          <t>Perhatikan amalan pekerja di kawasan pengeluaran, periksa bilik persalinan, ruang rehat dan kemudahan solat, kemudian semak rekod pemeriksaan kesihatan dan latihan.</t>
        </is>
      </c>
    </row>
    <row r="202">
      <c r="A202" s="7" t="inlineStr">
        <is>
          <t>K1</t>
        </is>
      </c>
      <c r="B202" s="7" t="inlineStr">
        <is>
          <t>Pekerja mengamalkan kebersihan diri yang baik (cth. kuku pendek dan bersih, rambut ditutup, dan tangan dibasuh sebelum bekerja dan selepas ke tandas).</t>
        </is>
      </c>
      <c r="C202" s="7" t="inlineStr">
        <is>
          <t>MPPHM 17(9)(b); GMP Kosmetik 5.1.2, 5.1.7; MS 2634 kl. 4.3*</t>
        </is>
      </c>
      <c r="D202" s="7" t="inlineStr"/>
      <c r="E202" s="7" t="inlineStr"/>
      <c r="F202" t="inlineStr">
        <is>
          <t>K</t>
        </is>
      </c>
    </row>
    <row r="203">
      <c r="A203" s="7" t="inlineStr">
        <is>
          <t>K2</t>
        </is>
      </c>
      <c r="B203" s="7" t="inlineStr">
        <is>
          <t>Pakaian kerja bersih, sopan dan sesuai dengan tugas, dan sentuhan terus antara tangan dan produk dielakkan.</t>
        </is>
      </c>
      <c r="C203" s="7" t="inlineStr">
        <is>
          <t>MPPHM 17(9)(c); GMP Kosmetik 5.1.5</t>
        </is>
      </c>
      <c r="D203" s="7" t="inlineStr"/>
      <c r="E203" s="7" t="inlineStr"/>
      <c r="F203" t="inlineStr">
        <is>
          <t>K</t>
        </is>
      </c>
    </row>
    <row r="204">
      <c r="A204" s="7" t="inlineStr">
        <is>
          <t>K3</t>
        </is>
      </c>
      <c r="B204" s="7" t="inlineStr">
        <is>
          <t>PPE (penutup kepala, sarung tangan, penutup muka, kaca mata keselamatan) disediakan dan dipakai mengikut tugas.</t>
        </is>
      </c>
      <c r="C204" s="7" t="inlineStr">
        <is>
          <t>MPPHM 17(9)(e)</t>
        </is>
      </c>
      <c r="D204" s="7" t="inlineStr"/>
      <c r="E204" s="7" t="inlineStr"/>
      <c r="F204" t="inlineStr">
        <is>
          <t>K</t>
        </is>
      </c>
    </row>
    <row r="205">
      <c r="A205" s="7" t="inlineStr">
        <is>
          <t>K4</t>
        </is>
      </c>
      <c r="B205" s="7" t="inlineStr">
        <is>
          <t>Pekerja tidak merokok, makan, minum, mengunyah atau meludah di kawasan pengeluaran, makmal dan stor. Makanan, minuman dan barang peribadi tidak dibawa ke kawasan itu.</t>
        </is>
      </c>
      <c r="C205" s="7" t="inlineStr">
        <is>
          <t>MPPHM 17(9)(d), 17(9)(f); GMP Kosmetik 5.1.6</t>
        </is>
      </c>
      <c r="D205" s="7" t="inlineStr"/>
      <c r="E205" s="7" t="inlineStr"/>
      <c r="F205" t="inlineStr">
        <is>
          <t>K</t>
        </is>
      </c>
    </row>
    <row r="206">
      <c r="A206" s="7" t="inlineStr">
        <is>
          <t>K5</t>
        </is>
      </c>
      <c r="B206" s="7" t="inlineStr">
        <is>
          <t>Pekerja yang sakit atau mempunyai luka terbuka tidak mengendalikan bahan atau produk, dan pekerja melaporkan keadaan yang boleh menjejaskan produk kepada penyelia.</t>
        </is>
      </c>
      <c r="C206" s="7" t="inlineStr">
        <is>
          <t>GMP Kosmetik 5.1.3, 5.1.4</t>
        </is>
      </c>
      <c r="D206" s="7" t="inlineStr"/>
      <c r="E206" s="7" t="inlineStr"/>
      <c r="F206" t="inlineStr">
        <is>
          <t>K</t>
        </is>
      </c>
    </row>
    <row r="207">
      <c r="A207" s="7" t="inlineStr">
        <is>
          <t>K6</t>
        </is>
      </c>
      <c r="B207" s="7" t="inlineStr">
        <is>
          <t>Bilik persalinan dan loker untuk pakaian dan barang peribadi pekerja disediakan di lokasi yang sesuai.</t>
        </is>
      </c>
      <c r="C207" s="7" t="inlineStr">
        <is>
          <t>GMP Kosmetik 3.4, 5.2.2; MPPHM 17(11)(e)</t>
        </is>
      </c>
      <c r="D207" s="7" t="inlineStr"/>
      <c r="E207" s="7" t="inlineStr"/>
      <c r="F207" t="inlineStr">
        <is>
          <t>K</t>
        </is>
      </c>
    </row>
    <row r="208">
      <c r="A208" s="7" t="inlineStr">
        <is>
          <t>K7</t>
        </is>
      </c>
      <c r="B208" s="7" t="inlineStr">
        <is>
          <t>Ruang rehat pekerja, dan bilik ibu menyusu mengikut keperluan, disediakan.</t>
        </is>
      </c>
      <c r="C208" s="7" t="inlineStr">
        <is>
          <t>MPPHM 17(11)(c), 17(11)(d)</t>
        </is>
      </c>
      <c r="D208" s="7" t="inlineStr"/>
      <c r="E208" s="7" t="inlineStr"/>
      <c r="F208" t="inlineStr">
        <is>
          <t>K</t>
        </is>
      </c>
    </row>
    <row r="209">
      <c r="A209" s="7" t="inlineStr">
        <is>
          <t>K8</t>
        </is>
      </c>
      <c r="B209" s="7" t="inlineStr">
        <is>
          <t>Ruang atau bilik solat disediakan di lokasi yang munasabah, dengan saiz yang mencukupi, dan dijaga dengan baik.</t>
        </is>
      </c>
      <c r="C209" s="7" t="inlineStr">
        <is>
          <t>MPPHM 17(11)(a); MS 2634 kl. 4.1*</t>
        </is>
      </c>
      <c r="D209" s="7" t="inlineStr"/>
      <c r="E209" s="7" t="inlineStr"/>
      <c r="F209" t="inlineStr">
        <is>
          <t>K</t>
        </is>
      </c>
    </row>
    <row r="210">
      <c r="A210" s="7" t="inlineStr">
        <is>
          <t>K9</t>
        </is>
      </c>
      <c r="B210" s="7" t="inlineStr">
        <is>
          <t>Pekerja Muslim diberi pelepasan dan masa yang munasabah untuk menunaikan solat fardu, termasuk solat Jumaat.</t>
        </is>
      </c>
      <c r="C210" s="7" t="inlineStr">
        <is>
          <t>MPPHM 17(11)(b); MS 2634 kl. 4.1*</t>
        </is>
      </c>
      <c r="D210" s="7" t="inlineStr"/>
      <c r="E210" s="7" t="inlineStr"/>
      <c r="F210" t="inlineStr">
        <is>
          <t>K</t>
        </is>
      </c>
    </row>
    <row r="211">
      <c r="A211" s="7" t="inlineStr">
        <is>
          <t>K10</t>
        </is>
      </c>
      <c r="B211" s="7" t="inlineStr">
        <is>
          <t>Pemeriksaan perubatan berkala dibuat bagi semua pekerja pengeluaran, dan rekodnya disimpan.</t>
        </is>
      </c>
      <c r="C211" s="7" t="inlineStr">
        <is>
          <t>GMP Kosmetik 5.1.1</t>
        </is>
      </c>
      <c r="D211" s="7" t="inlineStr"/>
      <c r="E211" s="7" t="inlineStr"/>
      <c r="F211" t="inlineStr">
        <is>
          <t>K</t>
        </is>
      </c>
    </row>
    <row r="212">
      <c r="A212" s="7" t="inlineStr">
        <is>
          <t>K11</t>
        </is>
      </c>
      <c r="B212" s="7" t="inlineStr">
        <is>
          <t>Pengambilan pekerja (termasuk pekerja asing) mengikut undang-undang. Kod etika dan amalan kebersihan yang baik diterangkan kepada pekerja dan dipatuhi.</t>
        </is>
      </c>
      <c r="C212" s="7" t="inlineStr">
        <is>
          <t>MPPHM 17(9)(g), 17(9)(h)</t>
        </is>
      </c>
      <c r="D212" s="7" t="inlineStr"/>
      <c r="E212" s="7" t="inlineStr"/>
      <c r="F212" t="inlineStr">
        <is>
          <t>K</t>
        </is>
      </c>
    </row>
    <row r="213">
      <c r="A213" s="7" t="inlineStr">
        <is>
          <t>K12</t>
        </is>
      </c>
      <c r="B213" s="7" t="inlineStr">
        <is>
          <t>Semua pekerja pengeluaran menerima latihan GMP yang sesuai secara berterusan (khususnya pekerja yang mengendalikan bahan berbahaya), dengan rekod latihan dan penilaian keberkesanan secara berkala.</t>
        </is>
      </c>
      <c r="C213" s="7" t="inlineStr">
        <is>
          <t>GMP Kosmetik 2.2.1-2.2.3</t>
        </is>
      </c>
      <c r="D213" s="7" t="inlineStr"/>
      <c r="E213" s="7" t="inlineStr"/>
      <c r="F213" t="inlineStr">
        <is>
          <t>K</t>
        </is>
      </c>
    </row>
    <row r="214">
      <c r="A214" s="7" t="inlineStr">
        <is>
          <t>K13</t>
        </is>
      </c>
      <c r="B214" s="7" t="inlineStr">
        <is>
          <t>Pekerja baharu menghadiri latihan kesedaran halal dalam tempoh 3 bulan dari tarikh lantikan.</t>
        </is>
      </c>
      <c r="C214" s="7" t="inlineStr">
        <is>
          <t>MPPHM 17(12)(a); MHMS 5(8)</t>
        </is>
      </c>
      <c r="D214" s="7" t="inlineStr"/>
      <c r="E214" s="7" t="inlineStr"/>
      <c r="F214" t="inlineStr">
        <is>
          <t>K</t>
        </is>
      </c>
    </row>
    <row r="215">
      <c r="A215" s="7" t="inlineStr">
        <is>
          <t>K14</t>
        </is>
      </c>
      <c r="B215" s="7" t="inlineStr">
        <is>
          <t>Semua pekerja pemprosesan menghadiri latihan kesedaran halal sekurang-kurangnya sekali setiap 3 tahun. Latihan dikendalikan oleh individu atau organisasi yang berdaftar dengan HPB JAKIM, dan meliputi konsep halal serta prosedur pensijilan.</t>
        </is>
      </c>
      <c r="C215" s="7" t="inlineStr">
        <is>
          <t>MPPHM 17(12)(b), 17(12)(c); MHMS 5(8)</t>
        </is>
      </c>
      <c r="D215" s="7" t="inlineStr"/>
      <c r="E215" s="7" t="inlineStr"/>
      <c r="F215" t="inlineStr">
        <is>
          <t>K</t>
        </is>
      </c>
    </row>
    <row r="216">
      <c r="A216" s="7" t="inlineStr">
        <is>
          <t>K15</t>
        </is>
      </c>
      <c r="B216" s="7" t="inlineStr">
        <is>
          <t>Latihan kesedaran halal diperluas kepada pihak berkaitan (cth. pemilik jenama, pembekal, pengangkut) apabila perlu.</t>
        </is>
      </c>
      <c r="C216" s="7" t="inlineStr">
        <is>
          <t>MPPHM 17(12)(d)</t>
        </is>
      </c>
      <c r="D216" s="7" t="inlineStr"/>
      <c r="E216" s="7" t="inlineStr"/>
      <c r="F216" t="inlineStr">
        <is>
          <t>K</t>
        </is>
      </c>
    </row>
    <row r="217">
      <c r="A217" s="7" t="inlineStr">
        <is>
          <t>K16</t>
        </is>
      </c>
      <c r="B217" s="7" t="inlineStr">
        <is>
          <t>Besar/sederhana: ahli JKHD menghadiri latihan kompetensi halal oleh penyedia latihan halal berdaftar sekurang-kurangnya sekali setiap 3 tahun. Latihan meliputi syariah dan fatwa, Standard Malaysia, MPPHM, MHMS, undang-undang halal dan bahan kritikal.</t>
        </is>
      </c>
      <c r="C217" s="7" t="inlineStr">
        <is>
          <t>MPPHM 17(12)(e), 17(12)(f); MHMS 5(8)</t>
        </is>
      </c>
      <c r="D217" s="7" t="inlineStr"/>
      <c r="E217" s="7" t="inlineStr"/>
      <c r="F217" t="inlineStr">
        <is>
          <t>K</t>
        </is>
      </c>
    </row>
    <row r="218">
      <c r="A218" s="7" t="inlineStr">
        <is>
          <t>K17</t>
        </is>
      </c>
      <c r="B218" s="7" t="inlineStr">
        <is>
          <t>HAS: pelan operasi latihan disediakan (jenis latihan, peserta, kekerapan, cadangan tarikh, penceramah, rekod), dan keberkesanan latihan kesedaran halal dinilai.</t>
        </is>
      </c>
      <c r="C218" s="7" t="inlineStr">
        <is>
          <t>MHMS 5(8), Lampiran K</t>
        </is>
      </c>
      <c r="D218" s="7" t="inlineStr"/>
      <c r="E218" s="7" t="inlineStr"/>
      <c r="F218" t="inlineStr">
        <is>
          <t>K</t>
        </is>
      </c>
    </row>
    <row r="219">
      <c r="A219" s="7" t="inlineStr">
        <is>
          <t>K18</t>
        </is>
      </c>
      <c r="B219" s="7" t="inlineStr">
        <is>
          <t>Pengurusan memperuntukkan dana dan kemudahan untuk latihan halal. Rekod latihan disimpan, dikemas kini dan mudah dicapai.</t>
        </is>
      </c>
      <c r="C219" s="7" t="inlineStr">
        <is>
          <t>MPPHM 17(12)(g), 17(12)(h)</t>
        </is>
      </c>
      <c r="D219" s="7" t="inlineStr"/>
      <c r="E219" s="7" t="inlineStr"/>
      <c r="F219" t="inlineStr">
        <is>
          <t>K</t>
        </is>
      </c>
    </row>
    <row r="220">
      <c r="A220" s="4" t="inlineStr">
        <is>
          <t>Bahagian L: Bahan Pembungkusan, Pelabelan, Logo Halal &amp; Tuntutan</t>
        </is>
      </c>
      <c r="B220" s="5" t="n"/>
      <c r="C220" s="5" t="n"/>
      <c r="D220" s="5" t="n"/>
      <c r="E220" s="6" t="n"/>
    </row>
    <row r="221" ht="26" customHeight="1">
      <c r="A221" s="2" t="inlineStr">
        <is>
          <t>Periksa bahan pembungkusan dan aplikator di stor dan talian pembungkusan, label produk siap, penggunaan logo halal dan sijil, serta tuntutan pada label, iklan dan media sosial.</t>
        </is>
      </c>
    </row>
    <row r="222">
      <c r="A222" s="7" t="inlineStr">
        <is>
          <t>L1</t>
        </is>
      </c>
      <c r="B222" s="7" t="inlineStr">
        <is>
          <t>Bahan pembungkusan (botol, tiub, penutup, pam, pelekat, kotak) halal, tidak mencemarkan produk dan selamat, dengan dokumen atau sijil daripada pembekal.</t>
        </is>
      </c>
      <c r="C222" s="7" t="inlineStr">
        <is>
          <t>MPPHM 17(6)(a); MS 2634 kl. 4.6*</t>
        </is>
      </c>
      <c r="D222" s="7" t="inlineStr"/>
      <c r="E222" s="7" t="inlineStr"/>
      <c r="F222" t="inlineStr">
        <is>
          <t>L</t>
        </is>
      </c>
    </row>
    <row r="223">
      <c r="A223" s="7" t="inlineStr">
        <is>
          <t>L2</t>
        </is>
      </c>
      <c r="B223" s="7" t="inlineStr">
        <is>
          <t>Aplikator dan aksesori yang dibekalkan bersama produk (berus solek, berus maskara, span, puf) tidak diperbuat daripada bulu babi atau bahan najis, dan sumber bulu haiwan didokumenkan.</t>
        </is>
      </c>
      <c r="C223" s="7" t="inlineStr">
        <is>
          <t>MPPHM 17(6)(a); MS 2634 kl. 4.6*</t>
        </is>
      </c>
      <c r="D223" s="7" t="inlineStr"/>
      <c r="E223" s="7" t="inlineStr"/>
      <c r="F223" t="inlineStr">
        <is>
          <t>L</t>
        </is>
      </c>
    </row>
    <row r="224">
      <c r="A224" s="7" t="inlineStr">
        <is>
          <t>L3</t>
        </is>
      </c>
      <c r="B224" s="7" t="inlineStr">
        <is>
          <t>Bungkusan, label dan iklan tidak bercanggah dengan Hukum Syarak dan tidak memaparkan unsur tidak sopan.</t>
        </is>
      </c>
      <c r="C224" s="7" t="inlineStr">
        <is>
          <t>MPPHM 17(6)(b)</t>
        </is>
      </c>
      <c r="D224" s="7" t="inlineStr"/>
      <c r="E224" s="7" t="inlineStr"/>
      <c r="F224" t="inlineStr">
        <is>
          <t>L</t>
        </is>
      </c>
    </row>
    <row r="225">
      <c r="A225" s="7" t="inlineStr">
        <is>
          <t>L4</t>
        </is>
      </c>
      <c r="B225" s="7" t="inlineStr">
        <is>
          <t>Label dan iklan tidak menggunakan nama Allah, ayat al-Quran atau Hadis, atau pernyataan, simbol dan istilah keagamaan, termasuk tuntutan berunsur ibadah seperti 'wudhu friendly' atau 'mesra wuduk'.</t>
        </is>
      </c>
      <c r="C225" s="7" t="inlineStr">
        <is>
          <t>MPPHM 17(6)(c); GKPK Annex I Part 8 s. 3; Perintah Takrif Halal 2011 perenggan 4</t>
        </is>
      </c>
      <c r="D225" s="7" t="inlineStr"/>
      <c r="E225" s="7" t="inlineStr"/>
      <c r="F225" t="inlineStr">
        <is>
          <t>L</t>
        </is>
      </c>
    </row>
    <row r="226">
      <c r="A226" s="7" t="inlineStr">
        <is>
          <t>L5</t>
        </is>
      </c>
      <c r="B226" s="7" t="inlineStr">
        <is>
          <t>Tiada gambar haiwan najis mughallazah atau unsur negatif (cth. botol arak) pada bungkusan, label atau iklan.</t>
        </is>
      </c>
      <c r="C226" s="7" t="inlineStr">
        <is>
          <t>MPPHM 17(6)(d)</t>
        </is>
      </c>
      <c r="D226" s="7" t="inlineStr"/>
      <c r="E226" s="7" t="inlineStr"/>
      <c r="F226" t="inlineStr">
        <is>
          <t>L</t>
        </is>
      </c>
    </row>
    <row r="227">
      <c r="A227" s="7" t="inlineStr">
        <is>
          <t>L6</t>
        </is>
      </c>
      <c r="B227" s="7" t="inlineStr">
        <is>
          <t>Nama produk pada label sama dengan nama dalam MYeHALAL dan dalam notifikasi NPRA, tanpa nama tambahan selain nama yang dinotifikasikan.</t>
        </is>
      </c>
      <c r="C227" s="7" t="inlineStr">
        <is>
          <t>MPPHM 17(6)(e), 17(2)(c); PKDK 1984 per. 18A(1)(e)</t>
        </is>
      </c>
      <c r="D227" s="7" t="inlineStr"/>
      <c r="E227" s="7" t="inlineStr"/>
      <c r="F227" t="inlineStr">
        <is>
          <t>L</t>
        </is>
      </c>
    </row>
    <row r="228">
      <c r="A228" s="7" t="inlineStr">
        <is>
          <t>L7</t>
        </is>
      </c>
      <c r="B228" s="7" t="inlineStr">
        <is>
          <t>Label dicetak dengan terang dan jelas, dan tidak mudah dipadam.</t>
        </is>
      </c>
      <c r="C228" s="7" t="inlineStr">
        <is>
          <t>MPPHM 17(6)(f)</t>
        </is>
      </c>
      <c r="D228" s="7" t="inlineStr"/>
      <c r="E228" s="7" t="inlineStr"/>
      <c r="F228" t="inlineStr">
        <is>
          <t>L</t>
        </is>
      </c>
    </row>
    <row r="229">
      <c r="A229" s="7" t="inlineStr">
        <is>
          <t>L8</t>
        </is>
      </c>
      <c r="B229" s="7" t="inlineStr">
        <is>
          <t>Label produk yang diproses dan dibungkus di Malaysia menggunakan Bahasa Melayu (terjemahan dalam bahasa lain dibenarkan). Ini sekali gus memenuhi syarat NPRA bahawa maklumat label dalam Bahasa Melayu dan/atau Inggeris.</t>
        </is>
      </c>
      <c r="C229" s="7" t="inlineStr">
        <is>
          <t>MPPHM 17(6)(i); GKPK Annex I Part 7</t>
        </is>
      </c>
      <c r="D229" s="7" t="inlineStr"/>
      <c r="E229" s="7" t="inlineStr"/>
      <c r="F229" t="inlineStr">
        <is>
          <t>L</t>
        </is>
      </c>
    </row>
    <row r="230">
      <c r="A230" s="7" t="inlineStr">
        <is>
          <t>L9</t>
        </is>
      </c>
      <c r="B230" s="7" t="inlineStr">
        <is>
          <t>Label pada bungkusan luar (atau pada bekas langsung jika tiada bungkusan luar) mengandungi butiran wajib: nama dan fungsi produk, cara penggunaan, senarai penuh bahan, negara pengilang, nama dan alamat CNH, kandungan bersih (berat atau isipadu), nombor kelompok, tarikh pengilangan atau tarikh luput, dan langkah berjaga-jaga khas.</t>
        </is>
      </c>
      <c r="C230" s="7" t="inlineStr">
        <is>
          <t>GKPK 3.4, Annex I Part 7; PKDK 1984 per. 18A(1)(f)</t>
        </is>
      </c>
      <c r="D230" s="7" t="inlineStr"/>
      <c r="E230" s="7" t="inlineStr"/>
      <c r="F230" t="inlineStr">
        <is>
          <t>L</t>
        </is>
      </c>
    </row>
    <row r="231">
      <c r="A231" s="7" t="inlineStr">
        <is>
          <t>L10</t>
        </is>
      </c>
      <c r="B231" s="7" t="inlineStr">
        <is>
          <t>Bekas kecil: sekurang-kurangnya nama produk dan nombor kelompok tertera pada bekas langsung, dan butiran lain dicetak pada risalah atau bungkusan luar.</t>
        </is>
      </c>
      <c r="C231" s="7" t="inlineStr">
        <is>
          <t>GKPK Annex I Part 7</t>
        </is>
      </c>
      <c r="D231" s="7" t="inlineStr"/>
      <c r="E231" s="7" t="inlineStr"/>
      <c r="F231" t="inlineStr">
        <is>
          <t>L</t>
        </is>
      </c>
    </row>
    <row r="232">
      <c r="A232" s="7" t="inlineStr">
        <is>
          <t>L11</t>
        </is>
      </c>
      <c r="B232" s="7" t="inlineStr">
        <is>
          <t>Senarai bahan pada label produk siap sama dengan formula induk.</t>
        </is>
      </c>
      <c r="C232" s="7" t="inlineStr">
        <is>
          <t>GKPK Annex I Part 7; PKDK 1984 per. 18A(1)(h)</t>
        </is>
      </c>
      <c r="D232" s="7" t="inlineStr"/>
      <c r="E232" s="7" t="inlineStr"/>
      <c r="F232" t="inlineStr">
        <is>
          <t>L</t>
        </is>
      </c>
    </row>
    <row r="233">
      <c r="A233" s="7" t="inlineStr">
        <is>
          <t>L12</t>
        </is>
      </c>
      <c r="B233" s="7" t="inlineStr">
        <is>
          <t>Label produk yang disijilkan menunjukkan nama produk, nama dan alamat pemegang SPHM, dan Logo Halal Malaysia bersama nombor MS berkaitan (MS 2634) serta 10 digit terakhir nombor rujukan fail.</t>
        </is>
      </c>
      <c r="C233" s="7" t="inlineStr">
        <is>
          <t>MPPHM 17(6)(j); MS 2634 kl. 7*</t>
        </is>
      </c>
      <c r="D233" s="7" t="inlineStr"/>
      <c r="E233" s="7" t="inlineStr"/>
      <c r="F233" t="inlineStr">
        <is>
          <t>L</t>
        </is>
      </c>
    </row>
    <row r="234">
      <c r="A234" s="7" t="inlineStr">
        <is>
          <t>L13</t>
        </is>
      </c>
      <c r="B234" s="7" t="inlineStr">
        <is>
          <t>Logo Halal Malaysia pada produk yang disijilkan tidak diubah bentuk, warna atau perkadarannya, dan ditanda dengan cara melekat, mencetak atau menggabungkannya pada produk atau bungkusannya.</t>
        </is>
      </c>
      <c r="C234" s="7" t="inlineStr">
        <is>
          <t>MPPHM 40, 41; MS 2634 kl. 7*; Perintah Perakuan &amp; Penandaan Halal 2011 perenggan 4(1), 6; GKPK 3.4</t>
        </is>
      </c>
      <c r="D234" s="7" t="inlineStr"/>
      <c r="E234" s="7" t="inlineStr"/>
      <c r="F234" t="inlineStr">
        <is>
          <t>L</t>
        </is>
      </c>
    </row>
    <row r="235">
      <c r="A235" s="7" t="inlineStr">
        <is>
          <t>L14</t>
        </is>
      </c>
      <c r="B235" s="7" t="inlineStr">
        <is>
          <t>Produk yang tidak disijilkan atau tidak dipohon tidak memaparkan logo halal, perkataan 'halal', ungkapan yang membayangkan halal (cth. 'Ditanggung Halal'), atau logo halal bagi bahan atau badan lain.</t>
        </is>
      </c>
      <c r="C235" s="7" t="inlineStr">
        <is>
          <t>Perintah Perakuan &amp; Penandaan Halal 2011 perenggan 4(1); Perintah Takrif Halal 2011 perenggan 4; APD 2011 s. 28, 29; PKDK 1984 per. 18A(1)(h)</t>
        </is>
      </c>
      <c r="D235" s="7" t="inlineStr"/>
      <c r="E235" s="7" t="inlineStr"/>
      <c r="F235" t="inlineStr">
        <is>
          <t>L</t>
        </is>
      </c>
    </row>
    <row r="236">
      <c r="A236" s="7" t="inlineStr">
        <is>
          <t>L15</t>
        </is>
      </c>
      <c r="B236" s="7" t="inlineStr">
        <is>
          <t>Tuntutan pada label dan iklan mematuhi garis panduan tuntutan kosmetik NPRA: tiada tuntutan perubatan, tiada tuntutan 'tiada kesan sampingan', dan tiada simbol atau pernyataan pensijilan GMP atau ISO 22716. Tuntutan disokong bukti.</t>
        </is>
      </c>
      <c r="C236" s="7" t="inlineStr">
        <is>
          <t>MPPHM 17(6)(g); PKDK 1984 per. 18A(14); GKPK 3.5, Annex I Part 8 s. 3</t>
        </is>
      </c>
      <c r="D236" s="7" t="inlineStr"/>
      <c r="E236" s="7" t="inlineStr"/>
      <c r="F236" t="inlineStr">
        <is>
          <t>L</t>
        </is>
      </c>
    </row>
    <row r="237">
      <c r="A237" s="7" t="inlineStr">
        <is>
          <t>L16</t>
        </is>
      </c>
      <c r="B237" s="7" t="inlineStr">
        <is>
          <t>Tuntutan teknikal seperti 'telap air' atau 'breathable' (jika ada) disokong data ujian dan tidak dikaitkan dengan wuduk, solat atau status halal produk.</t>
        </is>
      </c>
      <c r="C237" s="7" t="inlineStr">
        <is>
          <t>MPPHM 17(6)(g); GKPK 3.5, Annex I Part 10 s. 4.3(b), 4.4(c)</t>
        </is>
      </c>
      <c r="D237" s="7" t="inlineStr"/>
      <c r="E237" s="7" t="inlineStr"/>
      <c r="F237" t="inlineStr">
        <is>
          <t>L</t>
        </is>
      </c>
    </row>
    <row r="238">
      <c r="A238" s="7" t="inlineStr">
        <is>
          <t>L17</t>
        </is>
      </c>
      <c r="B238" s="7" t="inlineStr">
        <is>
          <t>Iklan (termasuk di laman web, e-dagang dan media sosial) benar, boleh dibuktikan dan sopan, dan tidak mengeksploitasi kepercayaan agama atau tahyul.</t>
        </is>
      </c>
      <c r="C238" s="7" t="inlineStr">
        <is>
          <t>GKPK 3.6, Annex I Part 10 s. 4.2, 4.3(b), 4.4(b), 4.4(c); MPPHM 17(6)(h)</t>
        </is>
      </c>
      <c r="D238" s="7" t="inlineStr"/>
      <c r="E238" s="7" t="inlineStr"/>
      <c r="F238" t="inlineStr">
        <is>
          <t>L</t>
        </is>
      </c>
    </row>
    <row r="239">
      <c r="A239" s="7" t="inlineStr">
        <is>
          <t>L18</t>
        </is>
      </c>
      <c r="B239" s="7" t="inlineStr">
        <is>
          <t>Logo halal dalam iklan, laman web, e-dagang dan media sosial hanya digunakan bagi produk yang disijilkan.</t>
        </is>
      </c>
      <c r="C239" s="7" t="inlineStr">
        <is>
          <t>MPPHM 41; Perintah Perakuan &amp; Penandaan Halal 2011 perenggan 4(1)</t>
        </is>
      </c>
      <c r="D239" s="7" t="inlineStr"/>
      <c r="E239" s="7" t="inlineStr"/>
      <c r="F239" t="inlineStr">
        <is>
          <t>L</t>
        </is>
      </c>
    </row>
    <row r="240">
      <c r="A240" s="7" t="inlineStr">
        <is>
          <t>L19</t>
        </is>
      </c>
      <c r="B240" s="7" t="inlineStr">
        <is>
          <t>Sijil SPHM yang sah disimpan, dan dipamerkan jika dikehendaki. Nama, alamat kilang, senarai produk dan tempoh sah pada sijil sepadan dengan premis dan produk yang diaudit.</t>
        </is>
      </c>
      <c r="C240" s="7" t="inlineStr">
        <is>
          <t>MPPHM 34, 35, 36; MS 2634 kl. 6*</t>
        </is>
      </c>
      <c r="D240" s="7" t="inlineStr"/>
      <c r="E240" s="7" t="inlineStr"/>
      <c r="F240" t="inlineStr">
        <is>
          <t>L</t>
        </is>
      </c>
    </row>
    <row r="241">
      <c r="A241" s="4" t="inlineStr">
        <is>
          <t>Bahagian M: Pengangkutan, Kebolehkesanan &amp; Penarikan Balik</t>
        </is>
      </c>
      <c r="B241" s="5" t="n"/>
      <c r="C241" s="5" t="n"/>
      <c r="D241" s="5" t="n"/>
      <c r="E241" s="6" t="n"/>
    </row>
    <row r="242" ht="26" customHeight="1">
      <c r="A242" s="2" t="inlineStr">
        <is>
          <t>Periksa kawasan penghantaran dan kenderaan, kontrak pengangkutan pihak ketiga, rekod pengedaran dan kebolehkesanan, serta prosedur dan rekod penarikan balik.</t>
        </is>
      </c>
    </row>
    <row r="243">
      <c r="A243" s="7" t="inlineStr">
        <is>
          <t>M1</t>
        </is>
      </c>
      <c r="B243" s="7" t="inlineStr">
        <is>
          <t>Kenderaan membawa bahan dan produk halal sahaja, tanpa bahan tidak halal dibawa bersama.</t>
        </is>
      </c>
      <c r="C243" s="7" t="inlineStr">
        <is>
          <t>MPPHM 17(7)(a); MS 2634 kl. 4.5*</t>
        </is>
      </c>
      <c r="D243" s="7" t="inlineStr"/>
      <c r="E243" s="7" t="inlineStr"/>
      <c r="F243" t="inlineStr">
        <is>
          <t>M</t>
        </is>
      </c>
    </row>
    <row r="244">
      <c r="A244" s="7" t="inlineStr">
        <is>
          <t>M2</t>
        </is>
      </c>
      <c r="B244" s="7" t="inlineStr">
        <is>
          <t>Kenderaan sesuai dengan sifat produk (cth. bahan mudah terbakar atau sensitif suhu), bersih, terkawal dan mematuhi undang-undang berkaitan.</t>
        </is>
      </c>
      <c r="C244" s="7" t="inlineStr">
        <is>
          <t>MPPHM 17(7)(b), 17(7)(c), 17(7)(e)</t>
        </is>
      </c>
      <c r="D244" s="7" t="inlineStr"/>
      <c r="E244" s="7" t="inlineStr"/>
      <c r="F244" t="inlineStr">
        <is>
          <t>M</t>
        </is>
      </c>
    </row>
    <row r="245">
      <c r="A245" s="7" t="inlineStr">
        <is>
          <t>M3</t>
        </is>
      </c>
      <c r="B245" s="7" t="inlineStr">
        <is>
          <t>Pengangkutan pihak ketiga mempunyai kontrak atau perjanjian bertulis, dan keutamaan diberi kepada penyedia yang memegang SPHM.</t>
        </is>
      </c>
      <c r="C245" s="7" t="inlineStr">
        <is>
          <t>MPPHM 17(7)(d)</t>
        </is>
      </c>
      <c r="D245" s="7" t="inlineStr"/>
      <c r="E245" s="7" t="inlineStr"/>
      <c r="F245" t="inlineStr">
        <is>
          <t>M</t>
        </is>
      </c>
    </row>
    <row r="246">
      <c r="A246" s="7" t="inlineStr">
        <is>
          <t>M4</t>
        </is>
      </c>
      <c r="B246" s="7" t="inlineStr">
        <is>
          <t>Sistem kebolehkesanan membolehkan bahan dan produk dikesan melalui semua peringkat: penerimaan, pemprosesan, penyimpanan dan pengedaran.</t>
        </is>
      </c>
      <c r="C246" s="7" t="inlineStr">
        <is>
          <t>MHMS 5(9), 6(3), 7(1)(b)(iii)</t>
        </is>
      </c>
      <c r="D246" s="7" t="inlineStr"/>
      <c r="E246" s="7" t="inlineStr"/>
      <c r="F246" t="inlineStr">
        <is>
          <t>M</t>
        </is>
      </c>
    </row>
    <row r="247">
      <c r="A247" s="7" t="inlineStr">
        <is>
          <t>M5</t>
        </is>
      </c>
      <c r="B247" s="7" t="inlineStr">
        <is>
          <t>Rekod pengedaran bagi setiap kelompok produk siap disimpan dan mudah dicapai supaya penarikan balik dapat dibuat dengan lengkap dan cepat.</t>
        </is>
      </c>
      <c r="C247" s="7" t="inlineStr">
        <is>
          <t>PKDK 1984 per. 25; GMP Kosmetik 13.3</t>
        </is>
      </c>
      <c r="D247" s="7" t="inlineStr"/>
      <c r="E247" s="7" t="inlineStr"/>
      <c r="F247" t="inlineStr">
        <is>
          <t>M</t>
        </is>
      </c>
    </row>
    <row r="248">
      <c r="A248" s="7" t="inlineStr">
        <is>
          <t>M6</t>
        </is>
      </c>
      <c r="B248" s="7" t="inlineStr">
        <is>
          <t>Orang yang bertanggungjawab melaksana dan menyelaras penarikan balik dilantik, dengan kakitangan yang mencukupi.</t>
        </is>
      </c>
      <c r="C248" s="7" t="inlineStr">
        <is>
          <t>GMP Kosmetik 13.1</t>
        </is>
      </c>
      <c r="D248" s="7" t="inlineStr"/>
      <c r="E248" s="7" t="inlineStr"/>
      <c r="F248" t="inlineStr">
        <is>
          <t>M</t>
        </is>
      </c>
    </row>
    <row r="249">
      <c r="A249" s="7" t="inlineStr">
        <is>
          <t>M7</t>
        </is>
      </c>
      <c r="B249" s="7" t="inlineStr">
        <is>
          <t>Prosedur penarikan balik bertulis disediakan, dikaji semula secara berkala, dan meliputi ketidakakuran halal atau pencemaran.</t>
        </is>
      </c>
      <c r="C249" s="7" t="inlineStr">
        <is>
          <t>GMP Kosmetik 13.2; MHMS 5(9)</t>
        </is>
      </c>
      <c r="D249" s="7" t="inlineStr"/>
      <c r="E249" s="7" t="inlineStr"/>
      <c r="F249" t="inlineStr">
        <is>
          <t>M</t>
        </is>
      </c>
    </row>
    <row r="250">
      <c r="A250" s="7" t="inlineStr">
        <is>
          <t>M8</t>
        </is>
      </c>
      <c r="B250" s="7" t="inlineStr">
        <is>
          <t>HAS: latihan penarikan balik (mock recall) dibuat sekurang-kurangnya sekali setahun, dan keberkesanan susunan penarikan balik dinilai secara berkala.</t>
        </is>
      </c>
      <c r="C250" s="7" t="inlineStr">
        <is>
          <t>MHMS 5(9); GMP Kosmetik 13.5</t>
        </is>
      </c>
      <c r="D250" s="7" t="inlineStr"/>
      <c r="E250" s="7" t="inlineStr"/>
      <c r="F250" t="inlineStr">
        <is>
          <t>M</t>
        </is>
      </c>
    </row>
    <row r="251">
      <c r="A251" s="7" t="inlineStr">
        <is>
          <t>M9</t>
        </is>
      </c>
      <c r="B251" s="7" t="inlineStr">
        <is>
          <t>Kemajuan penarikan balik direkodkan, dan laporan akhir mengandungi penyesuaian antara kuantiti yang dihantar dengan kuantiti yang diperoleh semula. Produk yang ditarik balik disimpan di kawasan berasingan yang selamat sementara menunggu keputusan.</t>
        </is>
      </c>
      <c r="C251" s="7" t="inlineStr">
        <is>
          <t>GMP Kosmetik 13.4, 13.6</t>
        </is>
      </c>
      <c r="D251" s="7" t="inlineStr"/>
      <c r="E251" s="7" t="inlineStr"/>
      <c r="F251" t="inlineStr">
        <is>
          <t>M</t>
        </is>
      </c>
    </row>
    <row r="252">
      <c r="A252" s="7" t="inlineStr">
        <is>
          <t>M10</t>
        </is>
      </c>
      <c r="B252" s="7" t="inlineStr">
        <is>
          <t>Produk yang melanggar, atau disyaki melanggar, arahan atau garis panduan Pengarah ditarik balik serta-merta, dan arahan bertulis Pengarah untuk menarik balik produk dipatuhi. Bagi penarikan balik sukarela, NPRA dimaklumkan terlebih dahulu, iaitu tidak lewat 24 jam (Darjah I), 48 jam (Darjah II) atau 72 jam (Darjah III) sebelum penarikan balik bermula.</t>
        </is>
      </c>
      <c r="C252" s="7" t="inlineStr">
        <is>
          <t>PKDK 1984 per. 18A(12), 18A(13); GKPK 5.3, Annex I Part 16 s. 5.1</t>
        </is>
      </c>
      <c r="D252" s="7" t="inlineStr"/>
      <c r="E252" s="7" t="inlineStr"/>
      <c r="F252" t="inlineStr">
        <is>
          <t>M</t>
        </is>
      </c>
    </row>
    <row r="253">
      <c r="A253" s="7" t="inlineStr">
        <is>
          <t>M11</t>
        </is>
      </c>
      <c r="B253" s="7" t="inlineStr">
        <is>
          <t>Kenderaan yang tercemar najis mughallazah telah disertu, dengan rekod.</t>
        </is>
      </c>
      <c r="C253" s="7" t="inlineStr">
        <is>
          <t>MPPHM 17(7)(f); MS 2634 Lampiran A*</t>
        </is>
      </c>
      <c r="D253" s="7" t="inlineStr"/>
      <c r="E253" s="7" t="inlineStr"/>
      <c r="F253" t="inlineStr">
        <is>
          <t>M</t>
        </is>
      </c>
    </row>
    <row r="254">
      <c r="A254" s="4" t="inlineStr">
        <is>
          <t>Bahagian N: Dokumentasi &amp; Rekod</t>
        </is>
      </c>
      <c r="B254" s="5" t="n"/>
      <c r="C254" s="5" t="n"/>
      <c r="D254" s="5" t="n"/>
      <c r="E254" s="6" t="n"/>
    </row>
    <row r="255" ht="26" customHeight="1">
      <c r="A255" s="2" t="inlineStr">
        <is>
          <t>Semak fail dokumentasi dan rekod di pejabat dan jabatan berkaitan, dan padankan dengan pemerhatian di lapangan.</t>
        </is>
      </c>
    </row>
    <row r="256">
      <c r="A256" s="7" t="inlineStr">
        <is>
          <t>N1</t>
        </is>
      </c>
      <c r="B256" s="7" t="inlineStr">
        <is>
          <t>Dokumen dikemas kini, lengkap dan mudah dicapai semasa audit: fail permohonan MYeHALAL, fail MHMS (HAS atau IHCS), sijil, rekod pekerja, rekod latihan, rekod pembelian bahan, rekod kawalan perosak, rekod pemprosesan, dan laporan audit terdahulu.</t>
        </is>
      </c>
      <c r="C256" s="7" t="inlineStr">
        <is>
          <t>MPPHM 17(14)(a), 17(14)(b); MHMS 5(13); MS 2634 kl. 4.1*</t>
        </is>
      </c>
      <c r="D256" s="7" t="inlineStr"/>
      <c r="E256" s="7" t="inlineStr"/>
      <c r="F256" t="inlineStr">
        <is>
          <t>N</t>
        </is>
      </c>
    </row>
    <row r="257">
      <c r="A257" s="7" t="inlineStr">
        <is>
          <t>N2</t>
        </is>
      </c>
      <c r="B257" s="7" t="inlineStr">
        <is>
          <t>Rekod disimpan sekurang-kurangnya 3 tahun, dan pemohon baharu mempunyai rekod sekurang-kurangnya 3 bulan. Dokumen sokongan difailkan berasingan dengan nombor rujukan.</t>
        </is>
      </c>
      <c r="C257" s="7" t="inlineStr">
        <is>
          <t>MPPHM 17(14)(c), 17(14)(d); MHMS 5(13)</t>
        </is>
      </c>
      <c r="D257" s="7" t="inlineStr"/>
      <c r="E257" s="7" t="inlineStr"/>
      <c r="F257" t="inlineStr">
        <is>
          <t>N</t>
        </is>
      </c>
    </row>
    <row r="258">
      <c r="A258" s="7" t="inlineStr">
        <is>
          <t>N3</t>
        </is>
      </c>
      <c r="B258" s="7" t="inlineStr">
        <is>
          <t>Sistem dokumentasi GMP memberikan sejarah lengkap bagi setiap kelompok. Dokumen lapuk tidak digunakan, pembetulan mengekalkan catatan asal dan ditandatangani serta bertarikh, dan dokumen bertarikh, diluluskan dan boleh dicapai oleh pihak berkaitan.</t>
        </is>
      </c>
      <c r="C258" s="7" t="inlineStr">
        <is>
          <t>GMP Kosmetik 8.1, 8.1.1-8.1.5</t>
        </is>
      </c>
      <c r="D258" s="7" t="inlineStr"/>
      <c r="E258" s="7" t="inlineStr"/>
      <c r="F258" t="inlineStr">
        <is>
          <t>N</t>
        </is>
      </c>
    </row>
    <row r="259">
      <c r="A259" s="7" t="inlineStr">
        <is>
          <t>N4</t>
        </is>
      </c>
      <c r="B259" s="7" t="inlineStr">
        <is>
          <t>Rekod pengilangan kelompok (BMR) bagi setiap kelompok mengandungi nama produk, formula kelompok, ringkasan proses, nombor kelompok, tarikh pemprosesan dan pembungkusan, pengenalan peralatan, rekod pembersihan, kawalan dalam proses dan keputusan makmal, rekod line clearance, persampelan, siasatan kegagalan, dan keputusan pemeriksaan produk siap.</t>
        </is>
      </c>
      <c r="C259" s="7" t="inlineStr">
        <is>
          <t>GMP Kosmetik 8.3.2</t>
        </is>
      </c>
      <c r="D259" s="7" t="inlineStr"/>
      <c r="E259" s="7" t="inlineStr"/>
      <c r="F259" t="inlineStr">
        <is>
          <t>N</t>
        </is>
      </c>
    </row>
    <row r="260">
      <c r="A260" s="7" t="inlineStr">
        <is>
          <t>N5</t>
        </is>
      </c>
      <c r="B260" s="7" t="inlineStr">
        <is>
          <t>PIF bagi setiap produk tersedia di alamat yang dinyatakan pada label, dalam bentuk dossier atau elektronik, dan dalam Bahasa Melayu atau Inggeris. PIF dikemas kini bagi setiap perubahan (bahan, pengilang, pembekal bahan, proses). NPRA mengesyorkan PIF disimpan sekurang-kurangnya 3 tahun selepas produk kali terakhir dipasarkan.</t>
        </is>
      </c>
      <c r="C260" s="7" t="inlineStr">
        <is>
          <t>GKPK 3.8, Annex I Part 13</t>
        </is>
      </c>
      <c r="D260" s="7" t="inlineStr"/>
      <c r="E260" s="7" t="inlineStr"/>
      <c r="F260" t="inlineStr">
        <is>
          <t>N</t>
        </is>
      </c>
    </row>
    <row r="261">
      <c r="A261" s="7" t="inlineStr">
        <is>
          <t>N6</t>
        </is>
      </c>
      <c r="B261" s="7" t="inlineStr">
        <is>
          <t>PIF mengandungi dokumen pentadbiran, formula, spesifikasi bahan mentah dan kaedah ujian, ringkasan kaedah pengilangan dan dokumen pematuhan GMP, spesifikasi produk siap dan data kestabilan, penilaian keselamatan bersama CV penilai, laporan kesan advers, dan bukti tuntutan.</t>
        </is>
      </c>
      <c r="C261" s="7" t="inlineStr">
        <is>
          <t>GKPK Annex I Part 13</t>
        </is>
      </c>
      <c r="D261" s="7" t="inlineStr"/>
      <c r="E261" s="7" t="inlineStr"/>
      <c r="F261" t="inlineStr">
        <is>
          <t>N</t>
        </is>
      </c>
    </row>
    <row r="262">
      <c r="A262" s="7" t="inlineStr">
        <is>
          <t>N7</t>
        </is>
      </c>
      <c r="B262" s="7" t="inlineStr">
        <is>
          <t>Rekod yang ditetapkan oleh Pengarah disimpan, dan rekod setiap transaksi produk bernotifikasi disimpan sekurang-kurangnya 5 tahun dari tarikh transaksi.</t>
        </is>
      </c>
      <c r="C262" s="7" t="inlineStr">
        <is>
          <t>PKDK 1984 per. 18A(11), 27(1)</t>
        </is>
      </c>
      <c r="D262" s="7" t="inlineStr"/>
      <c r="E262" s="7" t="inlineStr"/>
      <c r="F262" t="inlineStr">
        <is>
          <t>N</t>
        </is>
      </c>
    </row>
    <row r="263">
      <c r="A263" s="7" t="inlineStr">
        <is>
          <t>N8</t>
        </is>
      </c>
      <c r="B263" s="7" t="inlineStr">
        <is>
          <t>Rekod pembelian (invois, nota hantaran) sepadan dengan pembekal dan bahan dalam senarai induk.</t>
        </is>
      </c>
      <c r="C263" s="7" t="inlineStr">
        <is>
          <t>MPPHM 17(14)(b); MHMS 5(7)</t>
        </is>
      </c>
      <c r="D263" s="7" t="inlineStr"/>
      <c r="E263" s="7" t="inlineStr"/>
      <c r="F263" t="inlineStr">
        <is>
          <t>N</t>
        </is>
      </c>
    </row>
    <row r="264">
      <c r="A264" s="7" t="inlineStr">
        <is>
          <t>N9</t>
        </is>
      </c>
      <c r="B264" s="7" t="inlineStr">
        <is>
          <t>Laporan audit pensijilan halal terdahulu tersedia, dan setiap ketidakakuran telah ditutup dengan tindakan pembetulan.</t>
        </is>
      </c>
      <c r="C264" s="7" t="inlineStr">
        <is>
          <t>MPPHM 17(14)(b)</t>
        </is>
      </c>
      <c r="D264" s="7" t="inlineStr"/>
      <c r="E264" s="7" t="inlineStr"/>
      <c r="F264" t="inlineStr">
        <is>
          <t>N</t>
        </is>
      </c>
    </row>
  </sheetData>
  <mergeCells count="29">
    <mergeCell ref="A59:E59"/>
    <mergeCell ref="A73:E73"/>
    <mergeCell ref="A157:E157"/>
    <mergeCell ref="A201:E201"/>
    <mergeCell ref="A60:E60"/>
    <mergeCell ref="A138:E138"/>
    <mergeCell ref="A94:E94"/>
    <mergeCell ref="A6:E6"/>
    <mergeCell ref="A241:E241"/>
    <mergeCell ref="A172:E172"/>
    <mergeCell ref="A7:E7"/>
    <mergeCell ref="A221:E221"/>
    <mergeCell ref="A255:E255"/>
    <mergeCell ref="A137:E137"/>
    <mergeCell ref="A74:E74"/>
    <mergeCell ref="A189:E189"/>
    <mergeCell ref="A158:E158"/>
    <mergeCell ref="A3:E3"/>
    <mergeCell ref="A242:E242"/>
    <mergeCell ref="A32:E32"/>
    <mergeCell ref="A254:E254"/>
    <mergeCell ref="A188:E188"/>
    <mergeCell ref="A122:E122"/>
    <mergeCell ref="A200:E200"/>
    <mergeCell ref="A121:E121"/>
    <mergeCell ref="A93:E93"/>
    <mergeCell ref="A31:E31"/>
    <mergeCell ref="A220:E220"/>
    <mergeCell ref="A173:E173"/>
  </mergeCells>
  <conditionalFormatting sqref="D6:D264">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28 D29 D30 D33 D34 D35 D36 D37 D38 D39 D40 D41 D42 D43 D44 D45 D46 D47 D48 D49 D50 D51 D52 D53 D54 D55 D56 D57 D58 D61 D62 D63 D64 D65 D66 D67 D68 D69 D70 D71 D72 D75 D76 D77 D78 D79 D80 D81 D82 D83 D84 D85 D86 D87 D88 D89 D90 D91 D92 D95 D96 D97 D98 D99 D100 D101 D102 D103 D104 D105 D106 D107 D108 D109 D110 D111 D112 D113 D114 D115 D116 D117 D118 D119 D120 D123 D124 D125 D126 D127 D128 D129 D130 D131 D132 D133 D134 D135 D136 D139 D140 D141 D142 D143 D144 D145 D146 D147 D148 D149 D150 D151 D152 D153 D154 D155 D156 D159 D160 D161 D162 D163 D164 D165 D166 D167 D168 D169 D170 D171 D174 D175 D176 D177 D178 D179 D180 D181 D182 D183 D184 D185 D186 D187 D190 D191 D192 D193 D194 D195 D196 D197 D198 D199 D202 D203 D204 D205 D206 D207 D208 D209 D210 D211 D212 D213 D214 D215 D216 D217 D218 D219 D222 D223 D224 D225 D226 D227 D228 D229 D230 D231 D232 D233 D234 D235 D236 D237 D238 D239 D240 D243 D244 D245 D246 D247 D248 D249 D250 D251 D252 D253 D256 D257 D258 D259 D260 D261 D262 D263 D264"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Produk Kosmetik</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Notifikasi NPRA &amp; Skop Permohonan</t>
        </is>
      </c>
      <c r="B4" t="n">
        <v>23</v>
      </c>
      <c r="C4">
        <f>COUNTIFS('Senarai Semak'!$F$6:$F$264,"A",'Senarai Semak'!$D$6:$D$264,"Ya")</f>
        <v/>
      </c>
      <c r="D4">
        <f>COUNTIFS('Senarai Semak'!$F$6:$F$264,"A",'Senarai Semak'!$D$6:$D$264,"Tidak")</f>
        <v/>
      </c>
      <c r="E4">
        <f>COUNTIFS('Senarai Semak'!$F$6:$F$264,"A",'Senarai Semak'!$D$6:$D$264,"TB")</f>
        <v/>
      </c>
      <c r="F4">
        <f>B4-C4-D4-E4</f>
        <v/>
      </c>
      <c r="G4" s="10">
        <f>IF(C4+D4=0,"",C4/(C4+D4))</f>
        <v/>
      </c>
    </row>
    <row r="5">
      <c r="A5" t="inlineStr">
        <is>
          <t>B: Pengurusan Halal, Pekerja Muslim &amp; MHMS mengikut Saiz Industri</t>
        </is>
      </c>
      <c r="B5" t="n">
        <v>26</v>
      </c>
      <c r="C5">
        <f>COUNTIFS('Senarai Semak'!$F$6:$F$264,"B",'Senarai Semak'!$D$6:$D$264,"Ya")</f>
        <v/>
      </c>
      <c r="D5">
        <f>COUNTIFS('Senarai Semak'!$F$6:$F$264,"B",'Senarai Semak'!$D$6:$D$264,"Tidak")</f>
        <v/>
      </c>
      <c r="E5">
        <f>COUNTIFS('Senarai Semak'!$F$6:$F$264,"B",'Senarai Semak'!$D$6:$D$264,"TB")</f>
        <v/>
      </c>
      <c r="F5">
        <f>B5-C5-D5-E5</f>
        <v/>
      </c>
      <c r="G5" s="10">
        <f>IF(C5+D5=0,"",C5/(C5+D5))</f>
        <v/>
      </c>
    </row>
    <row r="6">
      <c r="A6" t="inlineStr">
        <is>
          <t>C: Sistem Kualiti GMP Kosmetik &amp; Tanggungjawab Pemegang Notifikasi</t>
        </is>
      </c>
      <c r="B6" t="n">
        <v>12</v>
      </c>
      <c r="C6">
        <f>COUNTIFS('Senarai Semak'!$F$6:$F$264,"C",'Senarai Semak'!$D$6:$D$264,"Ya")</f>
        <v/>
      </c>
      <c r="D6">
        <f>COUNTIFS('Senarai Semak'!$F$6:$F$264,"C",'Senarai Semak'!$D$6:$D$264,"Tidak")</f>
        <v/>
      </c>
      <c r="E6">
        <f>COUNTIFS('Senarai Semak'!$F$6:$F$264,"C",'Senarai Semak'!$D$6:$D$264,"TB")</f>
        <v/>
      </c>
      <c r="F6">
        <f>B6-C6-D6-E6</f>
        <v/>
      </c>
      <c r="G6" s="10">
        <f>IF(C6+D6=0,"",C6/(C6+D6))</f>
        <v/>
      </c>
    </row>
    <row r="7">
      <c r="A7" t="inlineStr">
        <is>
          <t>D: Premis, Persekitaran &amp; Bekalan Air</t>
        </is>
      </c>
      <c r="B7" t="n">
        <v>18</v>
      </c>
      <c r="C7">
        <f>COUNTIFS('Senarai Semak'!$F$6:$F$264,"D",'Senarai Semak'!$D$6:$D$264,"Ya")</f>
        <v/>
      </c>
      <c r="D7">
        <f>COUNTIFS('Senarai Semak'!$F$6:$F$264,"D",'Senarai Semak'!$D$6:$D$264,"Tidak")</f>
        <v/>
      </c>
      <c r="E7">
        <f>COUNTIFS('Senarai Semak'!$F$6:$F$264,"D",'Senarai Semak'!$D$6:$D$264,"TB")</f>
        <v/>
      </c>
      <c r="F7">
        <f>B7-C7-D7-E7</f>
        <v/>
      </c>
      <c r="G7" s="10">
        <f>IF(C7+D7=0,"",C7/(C7+D7))</f>
        <v/>
      </c>
    </row>
    <row r="8">
      <c r="A8" t="inlineStr">
        <is>
          <t>E: Bahan Mentah, Bahan Kritikal &amp; Pembekal</t>
        </is>
      </c>
      <c r="B8" t="n">
        <v>26</v>
      </c>
      <c r="C8">
        <f>COUNTIFS('Senarai Semak'!$F$6:$F$264,"E",'Senarai Semak'!$D$6:$D$264,"Ya")</f>
        <v/>
      </c>
      <c r="D8">
        <f>COUNTIFS('Senarai Semak'!$F$6:$F$264,"E",'Senarai Semak'!$D$6:$D$264,"Tidak")</f>
        <v/>
      </c>
      <c r="E8">
        <f>COUNTIFS('Senarai Semak'!$F$6:$F$264,"E",'Senarai Semak'!$D$6:$D$264,"TB")</f>
        <v/>
      </c>
      <c r="F8">
        <f>B8-C8-D8-E8</f>
        <v/>
      </c>
      <c r="G8" s="10">
        <f>IF(C8+D8=0,"",C8/(C8+D8))</f>
        <v/>
      </c>
    </row>
    <row r="9">
      <c r="A9" t="inlineStr">
        <is>
          <t>F: Penyimpanan Bahan &amp; Produk</t>
        </is>
      </c>
      <c r="B9" t="n">
        <v>14</v>
      </c>
      <c r="C9">
        <f>COUNTIFS('Senarai Semak'!$F$6:$F$264,"F",'Senarai Semak'!$D$6:$D$264,"Ya")</f>
        <v/>
      </c>
      <c r="D9">
        <f>COUNTIFS('Senarai Semak'!$F$6:$F$264,"F",'Senarai Semak'!$D$6:$D$264,"Tidak")</f>
        <v/>
      </c>
      <c r="E9">
        <f>COUNTIFS('Senarai Semak'!$F$6:$F$264,"F",'Senarai Semak'!$D$6:$D$264,"TB")</f>
        <v/>
      </c>
      <c r="F9">
        <f>B9-C9-D9-E9</f>
        <v/>
      </c>
      <c r="G9" s="10">
        <f>IF(C9+D9=0,"",C9/(C9+D9))</f>
        <v/>
      </c>
    </row>
    <row r="10">
      <c r="A10" t="inlineStr">
        <is>
          <t>G: Penimbangan, Pengeluaran &amp; Pembungkusan</t>
        </is>
      </c>
      <c r="B10" t="n">
        <v>18</v>
      </c>
      <c r="C10">
        <f>COUNTIFS('Senarai Semak'!$F$6:$F$264,"G",'Senarai Semak'!$D$6:$D$264,"Ya")</f>
        <v/>
      </c>
      <c r="D10">
        <f>COUNTIFS('Senarai Semak'!$F$6:$F$264,"G",'Senarai Semak'!$D$6:$D$264,"Tidak")</f>
        <v/>
      </c>
      <c r="E10">
        <f>COUNTIFS('Senarai Semak'!$F$6:$F$264,"G",'Senarai Semak'!$D$6:$D$264,"TB")</f>
        <v/>
      </c>
      <c r="F10">
        <f>B10-C10-D10-E10</f>
        <v/>
      </c>
      <c r="G10" s="10">
        <f>IF(C10+D10=0,"",C10/(C10+D10))</f>
        <v/>
      </c>
    </row>
    <row r="11">
      <c r="A11" t="inlineStr">
        <is>
          <t>H: Peralatan, Utiliti &amp; Bahan Bantu Pemprosesan</t>
        </is>
      </c>
      <c r="B11" t="n">
        <v>13</v>
      </c>
      <c r="C11">
        <f>COUNTIFS('Senarai Semak'!$F$6:$F$264,"H",'Senarai Semak'!$D$6:$D$264,"Ya")</f>
        <v/>
      </c>
      <c r="D11">
        <f>COUNTIFS('Senarai Semak'!$F$6:$F$264,"H",'Senarai Semak'!$D$6:$D$264,"Tidak")</f>
        <v/>
      </c>
      <c r="E11">
        <f>COUNTIFS('Senarai Semak'!$F$6:$F$264,"H",'Senarai Semak'!$D$6:$D$264,"TB")</f>
        <v/>
      </c>
      <c r="F11">
        <f>B11-C11-D11-E11</f>
        <v/>
      </c>
      <c r="G11" s="10">
        <f>IF(C11+D11=0,"",C11/(C11+D11))</f>
        <v/>
      </c>
    </row>
    <row r="12">
      <c r="A12" t="inlineStr">
        <is>
          <t>I: Kawalan Kualiti, Makmal &amp; Analisis Halal</t>
        </is>
      </c>
      <c r="B12" t="n">
        <v>14</v>
      </c>
      <c r="C12">
        <f>COUNTIFS('Senarai Semak'!$F$6:$F$264,"I",'Senarai Semak'!$D$6:$D$264,"Ya")</f>
        <v/>
      </c>
      <c r="D12">
        <f>COUNTIFS('Senarai Semak'!$F$6:$F$264,"I",'Senarai Semak'!$D$6:$D$264,"Tidak")</f>
        <v/>
      </c>
      <c r="E12">
        <f>COUNTIFS('Senarai Semak'!$F$6:$F$264,"I",'Senarai Semak'!$D$6:$D$264,"TB")</f>
        <v/>
      </c>
      <c r="F12">
        <f>B12-C12-D12-E12</f>
        <v/>
      </c>
      <c r="G12" s="10">
        <f>IF(C12+D12=0,"",C12/(C12+D12))</f>
        <v/>
      </c>
    </row>
    <row r="13">
      <c r="A13" t="inlineStr">
        <is>
          <t>J: Kebersihan, Sanitasi, Kawalan Perosak &amp; Sisa</t>
        </is>
      </c>
      <c r="B13" t="n">
        <v>10</v>
      </c>
      <c r="C13">
        <f>COUNTIFS('Senarai Semak'!$F$6:$F$264,"J",'Senarai Semak'!$D$6:$D$264,"Ya")</f>
        <v/>
      </c>
      <c r="D13">
        <f>COUNTIFS('Senarai Semak'!$F$6:$F$264,"J",'Senarai Semak'!$D$6:$D$264,"Tidak")</f>
        <v/>
      </c>
      <c r="E13">
        <f>COUNTIFS('Senarai Semak'!$F$6:$F$264,"J",'Senarai Semak'!$D$6:$D$264,"TB")</f>
        <v/>
      </c>
      <c r="F13">
        <f>B13-C13-D13-E13</f>
        <v/>
      </c>
      <c r="G13" s="10">
        <f>IF(C13+D13=0,"",C13/(C13+D13))</f>
        <v/>
      </c>
    </row>
    <row r="14">
      <c r="A14" t="inlineStr">
        <is>
          <t>K: Pekerja, Latihan &amp; Kemudahan</t>
        </is>
      </c>
      <c r="B14" t="n">
        <v>18</v>
      </c>
      <c r="C14">
        <f>COUNTIFS('Senarai Semak'!$F$6:$F$264,"K",'Senarai Semak'!$D$6:$D$264,"Ya")</f>
        <v/>
      </c>
      <c r="D14">
        <f>COUNTIFS('Senarai Semak'!$F$6:$F$264,"K",'Senarai Semak'!$D$6:$D$264,"Tidak")</f>
        <v/>
      </c>
      <c r="E14">
        <f>COUNTIFS('Senarai Semak'!$F$6:$F$264,"K",'Senarai Semak'!$D$6:$D$264,"TB")</f>
        <v/>
      </c>
      <c r="F14">
        <f>B14-C14-D14-E14</f>
        <v/>
      </c>
      <c r="G14" s="10">
        <f>IF(C14+D14=0,"",C14/(C14+D14))</f>
        <v/>
      </c>
    </row>
    <row r="15">
      <c r="A15" t="inlineStr">
        <is>
          <t>L: Bahan Pembungkusan, Pelabelan, Logo Halal &amp; Tuntutan</t>
        </is>
      </c>
      <c r="B15" t="n">
        <v>19</v>
      </c>
      <c r="C15">
        <f>COUNTIFS('Senarai Semak'!$F$6:$F$264,"L",'Senarai Semak'!$D$6:$D$264,"Ya")</f>
        <v/>
      </c>
      <c r="D15">
        <f>COUNTIFS('Senarai Semak'!$F$6:$F$264,"L",'Senarai Semak'!$D$6:$D$264,"Tidak")</f>
        <v/>
      </c>
      <c r="E15">
        <f>COUNTIFS('Senarai Semak'!$F$6:$F$264,"L",'Senarai Semak'!$D$6:$D$264,"TB")</f>
        <v/>
      </c>
      <c r="F15">
        <f>B15-C15-D15-E15</f>
        <v/>
      </c>
      <c r="G15" s="10">
        <f>IF(C15+D15=0,"",C15/(C15+D15))</f>
        <v/>
      </c>
    </row>
    <row r="16">
      <c r="A16" t="inlineStr">
        <is>
          <t>M: Pengangkutan, Kebolehkesanan &amp; Penarikan Balik</t>
        </is>
      </c>
      <c r="B16" t="n">
        <v>11</v>
      </c>
      <c r="C16">
        <f>COUNTIFS('Senarai Semak'!$F$6:$F$264,"M",'Senarai Semak'!$D$6:$D$264,"Ya")</f>
        <v/>
      </c>
      <c r="D16">
        <f>COUNTIFS('Senarai Semak'!$F$6:$F$264,"M",'Senarai Semak'!$D$6:$D$264,"Tidak")</f>
        <v/>
      </c>
      <c r="E16">
        <f>COUNTIFS('Senarai Semak'!$F$6:$F$264,"M",'Senarai Semak'!$D$6:$D$264,"TB")</f>
        <v/>
      </c>
      <c r="F16">
        <f>B16-C16-D16-E16</f>
        <v/>
      </c>
      <c r="G16" s="10">
        <f>IF(C16+D16=0,"",C16/(C16+D16))</f>
        <v/>
      </c>
    </row>
    <row r="17">
      <c r="A17" t="inlineStr">
        <is>
          <t>N: Dokumentasi &amp; Rekod</t>
        </is>
      </c>
      <c r="B17" t="n">
        <v>9</v>
      </c>
      <c r="C17">
        <f>COUNTIFS('Senarai Semak'!$F$6:$F$264,"N",'Senarai Semak'!$D$6:$D$264,"Ya")</f>
        <v/>
      </c>
      <c r="D17">
        <f>COUNTIFS('Senarai Semak'!$F$6:$F$264,"N",'Senarai Semak'!$D$6:$D$264,"Tidak")</f>
        <v/>
      </c>
      <c r="E17">
        <f>COUNTIFS('Senarai Semak'!$F$6:$F$264,"N",'Senarai Semak'!$D$6:$D$264,"TB")</f>
        <v/>
      </c>
      <c r="F17">
        <f>B17-C17-D17-E17</f>
        <v/>
      </c>
      <c r="G17" s="10">
        <f>IF(C17+D17=0,"",C17/(C17+D17))</f>
        <v/>
      </c>
    </row>
    <row r="18">
      <c r="A18" s="11" t="inlineStr">
        <is>
          <t>Jumlah</t>
        </is>
      </c>
      <c r="B18" s="11">
        <f>SUM(B4:B17)</f>
        <v/>
      </c>
      <c r="C18" s="11">
        <f>SUM(C4:C17)</f>
        <v/>
      </c>
      <c r="D18" s="11">
        <f>SUM(D4:D17)</f>
        <v/>
      </c>
      <c r="E18" s="11">
        <f>SUM(E4:E17)</f>
        <v/>
      </c>
      <c r="F18" s="11">
        <f>SUM(F4:F17)</f>
        <v/>
      </c>
      <c r="G18" s="10">
        <f>IF(C18+D18=0,"",C18/(C18+D18))</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(salinan PDF di laman JAIPs) bagi s. 3 (tafsiran), 5, 6, 8 (Jadual 1: kategori industri mengikut perolehan tahunan), 17 dan 18(2)(a)-(e), termasuk 18(2)(e)(i)-(iii). Bagi s. 19, 20, 34-36 dan 40-41, hanya tajuk dalam jadual kandungan yang disemak kerana teks badannya tiada dalam salinan yang diekstrak.</t>
        </is>
      </c>
      <c r="D2" s="14" t="inlineStr">
        <is>
          <t>https://jaips.perlis.gov.my/phocadownload/MPPHM%20Domestik%202020%20JAKIM-JAIN.pdf</t>
        </is>
      </c>
    </row>
    <row r="3">
      <c r="A3" s="14" t="inlineStr">
        <is>
          <t>MHMS</t>
        </is>
      </c>
      <c r="B3" s="14" t="inlineStr">
        <is>
          <t>Sistem Pengurusan Halal Malaysia (Malaysian Halal Management System) 2020, JAKIM</t>
        </is>
      </c>
      <c r="C3" s="14" t="inlineStr">
        <is>
          <t>Teks penuh dibaca daripada salinan dokumen rasmi JAKIM di serunai.com (https://serunai.com/wp-content/uploads/2023/03/SPHM-2020.pdf). Bahagian yang dibaca: 5(1)-5(13) (HAS), 6(1)-6(3) (IHCS), 7(1)(a)-(b) (skim Produk Makanan &amp; Minuman, Kosmetik, Farmaseutikal, Barang Gunaan dan Peranti Perubatan), 8 dan Lampiran (termasuk Lampiran B, C1, C2 dan D). Rujukan mengikut penomboran yang dicetak dalam manual.</t>
        </is>
      </c>
      <c r="D3" s="14" t="inlineStr">
        <is>
          <t>https://myehalal.halal.gov.my/portal-halal/v1/pdf/panduan/MHMS2020.pdf</t>
        </is>
      </c>
    </row>
    <row r="4">
      <c r="A4" s="14" t="inlineStr">
        <is>
          <t>MS 2634</t>
        </is>
      </c>
      <c r="B4" s="14" t="inlineStr">
        <is>
          <t>MS 2634:2019 Halal cosmetics - General requirements (First revision), Jabatan Standard Malaysia (disahkan semula 2025; menggantikan MS 2200-1:2008)</t>
        </is>
      </c>
      <c r="C4" s="14" t="inlineStr">
        <is>
          <t>Pratonton rasmi MySOL dibuka, tetapi hanya jadual kandungan dan Prakata yang kelihatan. Jadual kandungan: 1-3; 4.1 Management responsibility; 4.2 Materials; 4.3 Hygiene, sanitation and safety in the manufacturing and handling of halal cosmetics; 4.4 Other aspects in preparation of materials for halal cosmetics; 4.5 Product manufacturing, handling and distribution; 4.6 Packaging, labelling and advertising; 4.7 Other requirements; 4.8 Legal requirements; 5 Compliance; 6 Halal certificates; 7 Halal certification mark; Lampiran A Method of sertu. Teks klausa tidak kelihatan, jadi semua rujukan bertanda * dan isinya diringkaskan berdasarkan tajuk klausa. Prakata menyatakan bahawa kl. 4.1 ditambah dengan keperluan integriti halal, pengurusan rekod, amalan agama dan penglibatan pekerja.</t>
        </is>
      </c>
      <c r="D4" s="14" t="inlineStr">
        <is>
          <t>https://mysol.jsm.gov.my/preview-file/eyJpdiI6Ikd5MjcxbG9ZUFJRUHNpSFNtd3JiYnc9PSIsInZhbHVlIjoiZWdZdDdsb2cvc0x6aElzdFpYYXI1Zz09IiwibWFjIjoiZmYzZmQwYzE0N2E4MjI4MDRjYmUwOGU5MjhkNGE5ZDMxNTczOTIyMDAzNjQyZDdhYjJiYTlmNTJhZjM2NDJjMCJ9</t>
        </is>
      </c>
    </row>
    <row r="5">
      <c r="A5" s="14" t="inlineStr">
        <is>
          <t>PKDK 1984</t>
        </is>
      </c>
      <c r="B5" s="14" t="inlineStr">
        <is>
          <t>Peraturan-Peraturan Kawalan Dadah dan Kosmetik 1984 (Control of Drugs and Cosmetics Regulations 1984, P.U.(A) 223/1984, versi disatukan dengan pindaan)</t>
        </is>
      </c>
      <c r="C5" s="14" t="inlineStr">
        <is>
          <t>Teks penuh dibaca bagi per. 2, 7, 15, 18A (Bahagian IIIA: notifikasi kosmetik, termasuk 18A(1), (3)(b) dan (8)-(14)), 19-25 (Bahagian IV), 26, 27 dan 29. Dalam Bahagian IV, per. 20, 21, 23, 24 dan 25 terpakai kepada pengilang kosmetik bernotifikasi, manakala per. 19 dan 22 tidak terpakai.</t>
        </is>
      </c>
      <c r="D5" s="14" t="inlineStr">
        <is>
          <t>https://pharmacy.moh.gov.my/sites/default/files/document-upload/control-drugs-and-cosmetics-regulations-1984.pdf</t>
        </is>
      </c>
    </row>
    <row r="6">
      <c r="A6" s="14" t="inlineStr">
        <is>
          <t>GKPK</t>
        </is>
      </c>
      <c r="B6" s="14" t="inlineStr">
        <is>
          <t>Guidelines for Control of Cosmetic Products in Malaysia, Edisi Kedua (berkuat kuasa 1 Ogos 2022), NPRA, Kementerian Kesihatan Malaysia</t>
        </is>
      </c>
      <c r="C6" s="14" t="inlineStr">
        <is>
          <t>Teks penuh dibaca bagi s. 2.1, 2.7, 2.9, 3.3, 3.4, 3.5, 3.7, 3.8, 4.3, 4.4, 5.2, 5.3, 7.3 dan Glosari. Bagi s. 3.6, hanya tajuknya disemak. MPPHM 18(2)(c) menyebut edisi 2017, tetapi rujukan dalam senarai ini mengikut edisi semasa.</t>
        </is>
      </c>
      <c r="D6" s="14" t="inlineStr">
        <is>
          <t>https://www.npra.gov.my/images/Guidelines_Central/Guidelines_on_Cosmetic/GUIDELINES_FOR_CONTROL_OF_COSMETIC_PRODUCTS_IN_MALAYSIA.pdf</t>
        </is>
      </c>
    </row>
    <row r="7">
      <c r="A7" s="14" t="inlineStr">
        <is>
          <t>GMP Kosmetik</t>
        </is>
      </c>
      <c r="B7" s="14" t="inlineStr">
        <is>
          <t>Guidelines for Control of Cosmetic Products in Malaysia, Annex I Part 11: Guideline for Cosmetic Good Manufacturing Practice (Edisi Kedua, Ogos 2022)</t>
        </is>
      </c>
      <c r="C7" s="14" t="inlineStr">
        <is>
          <t>Teks penuh dibaca, dan nombor seksyen 1.2-13.6 disemak semula. MPPHM 18(2)(b) menyebut 'Annex I, Part 10: Guideline for Cosmetic GMP' (edisi 2017). Dalam edisi 2022, garis panduan GMP (berasaskan ASEAN Cosmetic GMP) ialah Annex I Part 11, manakala Part 10 kini Garis Panduan Iklan Kosmetik.</t>
        </is>
      </c>
      <c r="D7" s="14" t="inlineStr">
        <is>
          <t>https://www.npra.gov.my/images/Guidelines_Central/Guidelines_on_Cosmetic/Annex_I_part_11-GUIDELINE_FOR_COSMETIC_GOOD_MANUFACTURING_PRACTICE.pdf</t>
        </is>
      </c>
    </row>
    <row r="8">
      <c r="A8" s="14" t="inlineStr">
        <is>
          <t>GKPK Annex I</t>
        </is>
      </c>
      <c r="B8" s="14" t="inlineStr">
        <is>
          <t>GKPK Annex I (Edisi Kedua, Ogos 2022): Part 2 Non-Permissible Product Names, Part 5 Types of Changes for Notified Products, Part 7 Labelling Requirements, Part 8 Cosmetic Claims, Part 9(ii) Hand Sanitizer Products, Part 10 Cosmetic Advertisement, Part 13 Product Information File (PIF), Part 14 Heavy Metal &amp; Microbiological Test Limits, Part 15 Adverse Event Reporting, Part 16 Guidance for Industry - Reporting and Recall of Cosmetic Product</t>
        </is>
      </c>
      <c r="C8" s="14" t="inlineStr">
        <is>
          <t>Teks penuh dibaca bagi Part 2, 7, 8, 9(ii), 10, 13 dan 14. Bagi Part 16, s. 5.1 (tempoh notis penarikan balik sukarela) disemak. Part 5 dan Part 15 hanya dirujuk melalui teks utama GKPK dan tajuk dokumen.</t>
        </is>
      </c>
      <c r="D8" s="14" t="inlineStr">
        <is>
          <t>https://www.npra.gov.my/index.php/en/cosmetics-guideline-annex-i-vii</t>
        </is>
      </c>
    </row>
    <row r="9">
      <c r="A9" s="14" t="inlineStr">
        <is>
          <t>ACD</t>
        </is>
      </c>
      <c r="B9" s="14" t="inlineStr">
        <is>
          <t>ASEAN Cosmetic Directive: Annex II (bahan dilarang), Annex III (bahan terhad), Annex IV (pewarna dibenarkan), Annex VI (pengawet dibenarkan) dan Annex VII (penapis UV dibenarkan), seperti yang diterbitkan NPRA</t>
        </is>
      </c>
      <c r="C9" s="14" t="inlineStr">
        <is>
          <t>Annex II versi 2026-1 (10 Jun 2026) disemak bagi no. ruj. 416 (sel, tisu atau produk asal manusia), 419 (bahan Kategori 1 dan 2 menurut definisi ASEAN), 221 (merkuri dan sebatiannya) dan 375 (tretinoin). Bagi Annex III, IV, VI (keluaran 10 Jun 2026) dan VII (12 Dis 2025), hanya tajuk dan tarikh keluaran yang disemak.</t>
        </is>
      </c>
      <c r="D9" s="14" t="inlineStr">
        <is>
          <t>https://www.npra.gov.my/images/Guidelines_Central/Guidelines_on_Cosmetic/Annex_II_release_-_10_June_2026.pdf</t>
        </is>
      </c>
    </row>
    <row r="10">
      <c r="A10" s="14" t="inlineStr">
        <is>
          <t>MS 2627-2</t>
        </is>
      </c>
      <c r="B10" s="14" t="inlineStr">
        <is>
          <t>MS 2627-2:2025 Detection of porcine DNA - Test method - Part 2: Cosmetics, Jabatan Standard Malaysia</t>
        </is>
      </c>
      <c r="C10" s="14" t="inlineStr">
        <is>
          <t>Sumber kedua: rekod repositori IIUM (INHART) mengesahkan tajuk, tahun, penerbit dan skop standard ini (qPCR untuk mengenal pasti DNA babi dalam kosmetik pepejal, separa pepejal dan cecair). Teks standard tidak dibaca, jadi tiada nombor klausa dipetik.</t>
        </is>
      </c>
      <c r="D10" s="14" t="inlineStr">
        <is>
          <t>http://irep.iium.edu.my/124095/</t>
        </is>
      </c>
    </row>
    <row r="11">
      <c r="A11" s="14" t="inlineStr">
        <is>
          <t>Fatwa Muzakarah Khas MKI 2011 (alkohol)</t>
        </is>
      </c>
      <c r="B11" s="14" t="inlineStr">
        <is>
          <t>Keputusan Muzakarah Khas Jawatankuasa Fatwa Majlis Kebangsaan bagi Hal Ehwal Ugama Islam Malaysia, 14-16 Julai 2011: Isu Alkohol dalam Makanan, Minuman, Pewangi dan Ubat-ubatan</t>
        </is>
      </c>
      <c r="C11" s="14" t="inlineStr">
        <is>
          <t>Sumber kedua: Bayan Linnas Siri ke-198 (Jabatan Mufti Wilayah Persekutuan) memetik keputusan ini, iaitu ubat-ubatan dan pewangi yang mengandungi alkohol sebagai bahan pelarut tidak najis dan diharuskan, jika alkohol itu bukan diambil melalui proses pembuatan arak. Portal e-SMAF JAKIM tidak dapat dicapai.</t>
        </is>
      </c>
      <c r="D11" s="14" t="inlineStr">
        <is>
          <t>https://www.muftiwp.gov.my/ms/artikel/bayan-linnas/3572-bayan-linnas-siri-ke-198-produk-minuman-yang-menyerupai-arak</t>
        </is>
      </c>
    </row>
    <row r="12">
      <c r="A12" s="14" t="inlineStr">
        <is>
          <t>Fatwa Muzakarah MKI Kali Ke-100 (cochineal)</t>
        </is>
      </c>
      <c r="B12" s="14" t="inlineStr">
        <is>
          <t>Keputusan Muzakarah Jawatankuasa Fatwa Majlis Kebangsaan bagi Hal Ehwal Ugama Islam Malaysia Kali Ke-100, 4-6 Julai 2012, tentang penggunaan pewarna daripada serangga cochineal</t>
        </is>
      </c>
      <c r="C12" s="14" t="inlineStr">
        <is>
          <t>Sumber kedua: portal sebenarnya.my memetik keputusan bahawa pewarna cochineal diharuskan dalam makanan, minuman dan barang gunaan, dengan syarat tidak memudaratkan.</t>
        </is>
      </c>
      <c r="D12" s="14" t="inlineStr">
        <is>
          <t>https://sebenarnya.my/makanan-mengandungi-bahan-pewarna-cochineal-tidak-halal/</t>
        </is>
      </c>
    </row>
    <row r="13">
      <c r="A13" s="14" t="inlineStr">
        <is>
          <t>APD 2011</t>
        </is>
      </c>
      <c r="B13" s="14" t="inlineStr">
        <is>
          <t>Akta Perihal Dagangan 2011 (Akta 730)</t>
        </is>
      </c>
      <c r="C13" s="14" t="inlineStr">
        <is>
          <t>Sumber kedua: artikel jurnal Universiti Malaya yang memetik s. 28 dan s. 29.</t>
        </is>
      </c>
      <c r="D13" s="14" t="inlineStr">
        <is>
          <t>https://jier.um.edu.my/index.php/JS/article/download/6922/4584</t>
        </is>
      </c>
    </row>
    <row r="14">
      <c r="A14" s="14" t="inlineStr">
        <is>
          <t>Perintah Takrif Halal 2011</t>
        </is>
      </c>
      <c r="B14" s="14" t="inlineStr">
        <is>
          <t>Perintah Perihal Dagangan (Takrif Halal) 2011 (P.U.(A) 430/2011)</t>
        </is>
      </c>
      <c r="C14" s="14" t="inlineStr">
        <is>
          <t>Sumber kedua (artikel jurnal UM) bagi dua perenggan. Perenggan 3(1) menetapkan kriteria makanan atau barang-barang yang diperihalkan sebagai halal: tiada bahagian haiwan yang dilarang, tiada najis, tidak memabukkan, tiada bahagian manusia, tidak beracun, dan tidak tercemar oleh peralatan atau bahan tidak halal. Perenggan 4 meliputi ungkapan mengelirukan, ayat al-Quran dan simbol agama.</t>
        </is>
      </c>
      <c r="D14" s="14" t="inlineStr">
        <is>
          <t>https://jier.um.edu.my/index.php/JS/article/download/6922/4584</t>
        </is>
      </c>
    </row>
    <row r="15">
      <c r="A15" s="14" t="inlineStr">
        <is>
          <t>Perintah Perakuan &amp; Penandaan Halal 2011</t>
        </is>
      </c>
      <c r="B15" s="14" t="inlineStr">
        <is>
          <t>Perintah Perihal Dagangan (Perakuan dan Penandaan Halal) 2011 (P.U.(A) 431/2011)</t>
        </is>
      </c>
      <c r="C15" s="14" t="inlineStr">
        <is>
          <t>Teks warta dibaca bagi perenggan 2, 3 (JAKIM dan MAIN sebagai pihak berkuasa berwibawa), 4(1) (makanan dan barang-barang perlu diperakui dan ditanda dengan logo), 5 (barang import), 6 (cara penandaan) dan 8 (kesalahan).</t>
        </is>
      </c>
      <c r="D15" s="14" t="inlineStr">
        <is>
          <t>https://login.totalweblite.com/Clients/halalfood/431wartaperakuanhalal.pdf</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2026-10-06T15:38:36Z</dcterms:created>
  <dcterms:modified xmlns:dcterms="http://purl.org/dc/terms/" xmlns:xsi="http://www.w3.org/2001/XMLSchema-instance" xsi:type="dcterms:W3CDTF">2026-10-06T15:38:36Z</dcterms:modified>
</cp:coreProperties>
</file>