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arai Semak" sheetId="1" state="visible" r:id="rId1"/>
    <sheet xmlns:r="http://schemas.openxmlformats.org/officeDocument/2006/relationships" name="Ringkasan" sheetId="2" state="visible" r:id="rId2"/>
    <sheet xmlns:r="http://schemas.openxmlformats.org/officeDocument/2006/relationships" name="Penemuan" sheetId="3" state="visible" r:id="rId3"/>
    <sheet xmlns:r="http://schemas.openxmlformats.org/officeDocument/2006/relationships" name="Rujukan" sheetId="4" state="visible" r:id="rId4"/>
  </sheets>
  <definedNames>
    <definedName name="_xlnm.Print_Titles" localSheetId="0">'Senarai Semak'!$5:$5</definedName>
    <definedName name="_xlnm.Print_Area" localSheetId="0">'Senarai Semak'!$A$1:$E$245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9"/>
    </font>
    <font>
      <b val="1"/>
      <color rgb="00FFFFFF"/>
    </font>
    <font>
      <b val="1"/>
    </font>
    <font>
      <b val="1"/>
      <sz val="13"/>
    </font>
  </fonts>
  <fills count="4">
    <fill>
      <patternFill/>
    </fill>
    <fill>
      <patternFill patternType="gray125"/>
    </fill>
    <fill>
      <patternFill patternType="solid">
        <fgColor rgb="001F5132"/>
      </patternFill>
    </fill>
    <fill>
      <patternFill patternType="solid">
        <fgColor rgb="00D9EAD3"/>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5" fillId="0" borderId="0" pivotButton="0" quotePrefix="0" xfId="0"/>
    <xf numFmtId="0" fontId="3" fillId="2" borderId="0" pivotButton="0" quotePrefix="0" xfId="0"/>
    <xf numFmtId="9" fontId="0" fillId="0" borderId="0" pivotButton="0" quotePrefix="0" xfId="0"/>
    <xf numFmtId="0" fontId="4" fillId="0" borderId="0" pivotButton="0" quotePrefix="0" xfId="0"/>
    <xf numFmtId="0" fontId="3" fillId="2" borderId="1" pivotButton="0" quotePrefix="0" xfId="0"/>
    <xf numFmtId="0" fontId="0" fillId="0" borderId="1" pivotButton="0" quotePrefix="0" xfId="0"/>
    <xf numFmtId="0" fontId="0" fillId="0" borderId="0" applyAlignment="1" pivotButton="0" quotePrefix="0" xfId="0">
      <alignment vertical="top" wrapText="1"/>
    </xf>
  </cellXfs>
  <cellStyles count="1">
    <cellStyle name="Normal" xfId="0" builtinId="0" hidden="0"/>
  </cellStyles>
  <dxfs count="2">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45"/>
  <sheetViews>
    <sheetView workbookViewId="0">
      <pane ySplit="5" topLeftCell="A6" activePane="bottomLeft" state="frozen"/>
      <selection pane="bottomLeft" activeCell="A1" sqref="A1"/>
    </sheetView>
  </sheetViews>
  <sheetFormatPr baseColWidth="8" defaultRowHeight="15"/>
  <cols>
    <col width="6" customWidth="1" min="1" max="1"/>
    <col width="64" customWidth="1" min="2" max="2"/>
    <col width="32" customWidth="1" min="3" max="3"/>
    <col width="11" customWidth="1" min="4" max="4"/>
    <col width="28" customWidth="1" min="5" max="5"/>
    <col hidden="1" width="13" customWidth="1" min="6" max="6"/>
  </cols>
  <sheetData>
    <row r="1">
      <c r="A1" s="1" t="inlineStr">
        <is>
          <t>Senarai Semak Audit Halal: Skim Barang Gunaan</t>
        </is>
      </c>
    </row>
    <row r="2">
      <c r="A2" t="inlineStr">
        <is>
          <t>Premis/syarikat: ______________________________   Jenis barang: __________   Tarikh: ____________   Juruaudit: ______________________</t>
        </is>
      </c>
    </row>
    <row r="3" ht="28" customHeight="1">
      <c r="A3" s="2" t="inlineStr">
        <is>
          <t>Ya = patuh, Tidak = tidak patuh, TB = tidak berkaitan. Rujukan bertanda * = hanya tajuk klausa disahkan dari pratonton rasmi JSM; isi diringkaskan. Senarai rujukan penuh di helaian 'Rujukan'.</t>
        </is>
      </c>
    </row>
    <row r="5">
      <c r="A5" s="3" t="inlineStr">
        <is>
          <t>No</t>
        </is>
      </c>
      <c r="B5" s="3" t="inlineStr">
        <is>
          <t>Keperluan</t>
        </is>
      </c>
      <c r="C5" s="3" t="inlineStr">
        <is>
          <t>Rujukan</t>
        </is>
      </c>
      <c r="D5" s="3" t="inlineStr">
        <is>
          <t>Ya/Tidak/TB</t>
        </is>
      </c>
      <c r="E5" s="3" t="inlineStr">
        <is>
          <t>Bukti / Catatan</t>
        </is>
      </c>
    </row>
    <row r="6">
      <c r="A6" s="4" t="inlineStr">
        <is>
          <t>Bahagian A: Kelayakan, Skop Produk &amp; Lesen</t>
        </is>
      </c>
      <c r="B6" s="5" t="n"/>
      <c r="C6" s="5" t="n"/>
      <c r="D6" s="5" t="n"/>
      <c r="E6" s="6" t="n"/>
    </row>
    <row r="7" ht="26" customHeight="1">
      <c r="A7" s="2" t="inlineStr">
        <is>
          <t>Semak dokumen pendaftaran, lesen dan senarai produk dalam MYeHALAL, kemudian sahkan setiap produk memenuhi kriteria Skim Produk Barang Gunaan.</t>
        </is>
      </c>
    </row>
    <row r="8">
      <c r="A8" s="7" t="inlineStr">
        <is>
          <t>A1</t>
        </is>
      </c>
      <c r="B8" s="7" t="inlineStr">
        <is>
          <t>Pendaftaran perniagaan (SSM, koperasi atau dokumen penubuhan) masih sah, dan nama serta alamatnya sama dengan permohonan SPHM.</t>
        </is>
      </c>
      <c r="C8" s="7" t="inlineStr">
        <is>
          <t>MPPHM 5(1)</t>
        </is>
      </c>
      <c r="D8" s="7" t="inlineStr"/>
      <c r="E8" s="7" t="inlineStr"/>
      <c r="F8" t="inlineStr">
        <is>
          <t>A</t>
        </is>
      </c>
    </row>
    <row r="9">
      <c r="A9" s="7" t="inlineStr">
        <is>
          <t>A2</t>
        </is>
      </c>
      <c r="B9" s="7" t="inlineStr">
        <is>
          <t>Lesen perniagaan atau premis daripada PBT (atau dokumen sokongan agensi kerajaan yang berkaitan) masih sah dan sepadan dengan alamat serta aktiviti kilang.</t>
        </is>
      </c>
      <c r="C9" s="7" t="inlineStr">
        <is>
          <t>MPPHM 5(2)</t>
        </is>
      </c>
      <c r="D9" s="7" t="inlineStr"/>
      <c r="E9" s="7" t="inlineStr"/>
      <c r="F9" t="inlineStr">
        <is>
          <t>A</t>
        </is>
      </c>
    </row>
    <row r="10">
      <c r="A10" s="7" t="inlineStr">
        <is>
          <t>A3</t>
        </is>
      </c>
      <c r="B10" s="7" t="inlineStr">
        <is>
          <t>Syarikat pengilangan yang mempunyai dana pemegang saham RM2.5 juta ke atas atau 75 pekerja sepenuh masa ke atas: Lesen Pengilangan di bawah Akta Penyelarasan Perindustrian 1975 masih sah, dan produk yang dilesenkan merangkumi produk yang dipohon.</t>
        </is>
      </c>
      <c r="C10" s="7" t="inlineStr">
        <is>
          <t>MPPHM 5(2), 17(16)(a); Akta Penyelarasan Perindustrian 1975</t>
        </is>
      </c>
      <c r="D10" s="7" t="inlineStr"/>
      <c r="E10" s="7" t="inlineStr"/>
      <c r="F10" t="inlineStr">
        <is>
          <t>A</t>
        </is>
      </c>
    </row>
    <row r="11">
      <c r="A11" s="7" t="inlineStr">
        <is>
          <t>A4</t>
        </is>
      </c>
      <c r="B11" s="7" t="inlineStr">
        <is>
          <t>Syarikat telah beroperasi sepenuhnya sekurang-kurangnya 3 bulan sebelum memohon (pemohon baharu), atau sekurang-kurangnya 1 bulan di premis baharu (pindah premis).</t>
        </is>
      </c>
      <c r="C11" s="7" t="inlineStr">
        <is>
          <t>MPPHM 5(7), 5(8)</t>
        </is>
      </c>
      <c r="D11" s="7" t="inlineStr"/>
      <c r="E11" s="7" t="inlineStr"/>
      <c r="F11" t="inlineStr">
        <is>
          <t>A</t>
        </is>
      </c>
    </row>
    <row r="12">
      <c r="A12" s="7" t="inlineStr">
        <is>
          <t>A5</t>
        </is>
      </c>
      <c r="B12" s="7" t="inlineStr">
        <is>
          <t>Saiz industri ditentukan dengan betul berdasarkan nilai perolehan tahunan: mikro kurang daripada RM300,000; kecil RM300,000 hingga RM14,999,999.99; sederhana RM15 juta hingga RM50 juta; besar melebihi RM50 juta. Saiz ini menentukan bilangan pekerja Muslim yang diperlukan dan sistem yang perlu dilaksanakan (HAS atau IHCS).</t>
        </is>
      </c>
      <c r="C12" s="7" t="inlineStr">
        <is>
          <t>MPPHM 8, Jadual 1 (Bahagian Fi), 18(5)(c)</t>
        </is>
      </c>
      <c r="D12" s="7" t="inlineStr"/>
      <c r="E12" s="7" t="inlineStr"/>
      <c r="F12" t="inlineStr">
        <is>
          <t>A</t>
        </is>
      </c>
    </row>
    <row r="13">
      <c r="A13" s="7" t="inlineStr">
        <is>
          <t>A6</t>
        </is>
      </c>
      <c r="B13" s="7" t="inlineStr">
        <is>
          <t>Setiap produk yang dipohon ialah produk siap atau separa siap selain makanan dan minuman, kosmetik, farmaseutikal dan peranti perubatan. Contohnya, sabun mandi yang dinotifikasi sebagai kosmetik dan sarung tangan perubatan yang berdaftar dengan MDA tidak dipohon di bawah skim ini.</t>
        </is>
      </c>
      <c r="C13" s="7" t="inlineStr">
        <is>
          <t>MPPHM 4, 18(5)(a)</t>
        </is>
      </c>
      <c r="D13" s="7" t="inlineStr"/>
      <c r="E13" s="7" t="inlineStr"/>
      <c r="F13" t="inlineStr">
        <is>
          <t>A</t>
        </is>
      </c>
    </row>
    <row r="14">
      <c r="A14" s="7" t="inlineStr">
        <is>
          <t>A7</t>
        </is>
      </c>
      <c r="B14" s="7" t="inlineStr">
        <is>
          <t>Setiap produk memenuhi sekurang-kurangnya satu daripada dua kriteria berikut: (i) sumber bahan pembuatan atau ramuannya mungkin halal atau tidak halal (cth. barangan kulit, bahan pencuci, penapis air); atau (ii) produk itu digunakan sebagai bahan bantuan pemprosesan dalam pengilangan produk di bawah skim SPHM (cth. bleaching earth, tawas, gas).</t>
        </is>
      </c>
      <c r="C14" s="7" t="inlineStr">
        <is>
          <t>MPPHM 18(5)(a)(i), 18(5)(a)(ii)</t>
        </is>
      </c>
      <c r="D14" s="7" t="inlineStr"/>
      <c r="E14" s="7" t="inlineStr"/>
      <c r="F14" t="inlineStr">
        <is>
          <t>A</t>
        </is>
      </c>
    </row>
    <row r="15">
      <c r="A15" s="7" t="inlineStr">
        <is>
          <t>A8</t>
        </is>
      </c>
      <c r="B15" s="7" t="inlineStr">
        <is>
          <t>Pensijilan produk tidak menimbulkan kekeliruan, dan produk itu bukan jenis yang tidak memerlukan pensijilan halal (cth. baja, kertas, simen, jubin, racun serangga, permaidani).</t>
        </is>
      </c>
      <c r="C15" s="7" t="inlineStr">
        <is>
          <t>MPPHM 18(5)(a)(iii), 6(13)</t>
        </is>
      </c>
      <c r="D15" s="7" t="inlineStr"/>
      <c r="E15" s="7" t="inlineStr"/>
      <c r="F15" t="inlineStr">
        <is>
          <t>A</t>
        </is>
      </c>
    </row>
    <row r="16">
      <c r="A16" s="7" t="inlineStr">
        <is>
          <t>A9</t>
        </is>
      </c>
      <c r="B16" s="7" t="inlineStr">
        <is>
          <t>Kelulusan pihak berkuasa berwibawa bahawa produk layak disijilkan di bawah skim ini direkodkan (cth. keputusan semakan permohonan dalam MYeHALAL).</t>
        </is>
      </c>
      <c r="C16" s="7" t="inlineStr">
        <is>
          <t>MPPHM 18(5)(a)(iv)</t>
        </is>
      </c>
      <c r="D16" s="7" t="inlineStr"/>
      <c r="E16" s="7" t="inlineStr"/>
      <c r="F16" t="inlineStr">
        <is>
          <t>A</t>
        </is>
      </c>
    </row>
    <row r="17">
      <c r="A17" s="7" t="inlineStr">
        <is>
          <t>A10</t>
        </is>
      </c>
      <c r="B17" s="7" t="inlineStr">
        <is>
          <t>Setiap produk mempunyai standard rujukan yang terpakai: MS 2738:2023 bagi keperluan umum barang gunaan, dan MS 2803:2025 bagi produk yang menggunakan tulang, kulit atau bulu haiwan.</t>
        </is>
      </c>
      <c r="C17" s="7" t="inlineStr">
        <is>
          <t>MPPHM 6(4), 18(5)(b); MPPHM Pindaan 18(5); MS 2738 kl. 1*; MS 2803</t>
        </is>
      </c>
      <c r="D17" s="7" t="inlineStr"/>
      <c r="E17" s="7" t="inlineStr"/>
      <c r="F17" t="inlineStr">
        <is>
          <t>A</t>
        </is>
      </c>
    </row>
    <row r="18">
      <c r="A18" s="7" t="inlineStr">
        <is>
          <t>A11</t>
        </is>
      </c>
      <c r="B18" s="7" t="inlineStr">
        <is>
          <t>Syarikat hanya mengeluarkan, mengendalikan dan mengedarkan produk halal, termasuk produk dagangan, dan tiada barisan produk tidak halal di bawah syarikat yang sama.</t>
        </is>
      </c>
      <c r="C18" s="7" t="inlineStr">
        <is>
          <t>MPPHM 5(9), 6(1), 6(2)</t>
        </is>
      </c>
      <c r="D18" s="7" t="inlineStr"/>
      <c r="E18" s="7" t="inlineStr"/>
      <c r="F18" t="inlineStr">
        <is>
          <t>A</t>
        </is>
      </c>
    </row>
    <row r="19">
      <c r="A19" s="7" t="inlineStr">
        <is>
          <t>A12</t>
        </is>
      </c>
      <c r="B19" s="7" t="inlineStr">
        <is>
          <t>Bahan pembungkusan: tin, botol, label atau bungkusan yang dikeluarkan khusus untuk produk tidak halal (cth. minuman keras, produk babi), jika ada, telah dikenal pasti dan dimaklumkan kepada pihak berkuasa untuk keputusan kelayakan. Item itu tidak dimasukkan dalam permohonan dan tidak memaparkan logo halal.</t>
        </is>
      </c>
      <c r="C19" s="7" t="inlineStr">
        <is>
          <t>MPPHM 6(2), 18(5)(a)(iv)</t>
        </is>
      </c>
      <c r="D19" s="7" t="inlineStr"/>
      <c r="E19" s="7" t="inlineStr"/>
      <c r="F19" t="inlineStr">
        <is>
          <t>A</t>
        </is>
      </c>
    </row>
    <row r="20">
      <c r="A20" s="7" t="inlineStr">
        <is>
          <t>A13</t>
        </is>
      </c>
      <c r="B20" s="7" t="inlineStr">
        <is>
          <t>Jenama yang sama tidak digunakan bagi produk halal dan produk tidak halal.</t>
        </is>
      </c>
      <c r="C20" s="7" t="inlineStr">
        <is>
          <t>MPPHM 6(3)</t>
        </is>
      </c>
      <c r="D20" s="7" t="inlineStr"/>
      <c r="E20" s="7" t="inlineStr"/>
      <c r="F20" t="inlineStr">
        <is>
          <t>A</t>
        </is>
      </c>
    </row>
    <row r="21">
      <c r="A21" s="7" t="inlineStr">
        <is>
          <t>A14</t>
        </is>
      </c>
      <c r="B21" s="7" t="inlineStr">
        <is>
          <t>Semua jenis produk yang masih dikeluarkan di premis telah dipohon. Produk yang tidak diproses sepanjang tempoh sah laku SPHM terdahulu dikenal pasti, dan produk itu boleh digugurkan daripada permohonan.</t>
        </is>
      </c>
      <c r="C21" s="7" t="inlineStr">
        <is>
          <t>MPPHM 5(10), 17(2)(b), 17(2)(e)</t>
        </is>
      </c>
      <c r="D21" s="7" t="inlineStr"/>
      <c r="E21" s="7" t="inlineStr"/>
      <c r="F21" t="inlineStr">
        <is>
          <t>A</t>
        </is>
      </c>
    </row>
    <row r="22">
      <c r="A22" s="7" t="inlineStr">
        <is>
          <t>A15</t>
        </is>
      </c>
      <c r="B22" s="7" t="inlineStr">
        <is>
          <t>Produk yang dibungkus semula (cth. tawas, bahan pencuci atau gas yang dibeli secara pukal) mempunyai sijil halal yang diiktiraf dan masih sah. Dokumen sokongan yang jelas menyatakan sumber bahan hanya diterima sebagai ganti sijil bagi bahan semula jadi.</t>
        </is>
      </c>
      <c r="C22" s="7" t="inlineStr">
        <is>
          <t>MPPHM 5(11)</t>
        </is>
      </c>
      <c r="D22" s="7" t="inlineStr"/>
      <c r="E22" s="7" t="inlineStr"/>
      <c r="F22" t="inlineStr">
        <is>
          <t>A</t>
        </is>
      </c>
    </row>
    <row r="23">
      <c r="A23" s="7" t="inlineStr">
        <is>
          <t>A16</t>
        </is>
      </c>
      <c r="B23" s="7" t="inlineStr">
        <is>
          <t>Produk siap, sama ada dari dalam atau luar negara, yang hanya dilabel semula tanpa menjalani sebarang proses di Malaysia tidak dipohon.</t>
        </is>
      </c>
      <c r="C23" s="7" t="inlineStr">
        <is>
          <t>MPPHM 6(8)</t>
        </is>
      </c>
      <c r="D23" s="7" t="inlineStr"/>
      <c r="E23" s="7" t="inlineStr"/>
      <c r="F23" t="inlineStr">
        <is>
          <t>A</t>
        </is>
      </c>
    </row>
    <row r="24">
      <c r="A24" s="7" t="inlineStr">
        <is>
          <t>A17</t>
        </is>
      </c>
      <c r="B24" s="7" t="inlineStr">
        <is>
          <t>Nama syarikat, jenama, produk dan bahan tidak menggunakan perkataan 'halal' atau ungkapan yang membayangkan produk itu khusus untuk orang Islam.</t>
        </is>
      </c>
      <c r="C24" s="7" t="inlineStr">
        <is>
          <t>MPPHM 5(12)</t>
        </is>
      </c>
      <c r="D24" s="7" t="inlineStr"/>
      <c r="E24" s="7" t="inlineStr"/>
      <c r="F24" t="inlineStr">
        <is>
          <t>A</t>
        </is>
      </c>
    </row>
    <row r="25">
      <c r="A25" s="7" t="inlineStr">
        <is>
          <t>A18</t>
        </is>
      </c>
      <c r="B25" s="7" t="inlineStr">
        <is>
          <t>Nama syarikat, jenama, produk dan varian (termasuk nama pewangi, cth. pada bahan pencuci) tidak merujuk kepada produk tidak halal atau menggunakan istilah yang mengelirukan (cth. varian bernama 'beer' atau 'rum').</t>
        </is>
      </c>
      <c r="C25" s="7" t="inlineStr">
        <is>
          <t>MPPHM 6(7), Lampiran A</t>
        </is>
      </c>
      <c r="D25" s="7" t="inlineStr"/>
      <c r="E25" s="7" t="inlineStr"/>
      <c r="F25" t="inlineStr">
        <is>
          <t>A</t>
        </is>
      </c>
    </row>
    <row r="26">
      <c r="A26" s="7" t="inlineStr">
        <is>
          <t>A19</t>
        </is>
      </c>
      <c r="B26" s="7" t="inlineStr">
        <is>
          <t>Tiada produk yang memberi implikasi negatif terhadap agama dan sosial (cth. produk atau aksesori rokok, vape dan shisha).</t>
        </is>
      </c>
      <c r="C26" s="7" t="inlineStr">
        <is>
          <t>MPPHM 6(5)</t>
        </is>
      </c>
      <c r="D26" s="7" t="inlineStr"/>
      <c r="E26" s="7" t="inlineStr"/>
      <c r="F26" t="inlineStr">
        <is>
          <t>A</t>
        </is>
      </c>
    </row>
    <row r="27">
      <c r="A27" s="7" t="inlineStr">
        <is>
          <t>A20</t>
        </is>
      </c>
      <c r="B27" s="7" t="inlineStr">
        <is>
          <t>Tiada produk yang boleh membawa kepada penyelewengan akidah, khurafat atau penipuan (cth. tangkal, azimat, atau barang yang didakwa sebagai 'pelaris' atau 'pendinding').</t>
        </is>
      </c>
      <c r="C27" s="7" t="inlineStr">
        <is>
          <t>MPPHM 6(11)</t>
        </is>
      </c>
      <c r="D27" s="7" t="inlineStr"/>
      <c r="E27" s="7" t="inlineStr"/>
      <c r="F27" t="inlineStr">
        <is>
          <t>A</t>
        </is>
      </c>
    </row>
    <row r="28">
      <c r="A28" s="7" t="inlineStr">
        <is>
          <t>A21</t>
        </is>
      </c>
      <c r="B28" s="7" t="inlineStr">
        <is>
          <t>Tiada produk untuk upacara penyembahan atau yang membawa implikasi agama yang negatif (cth. colok, lilin atau minyak untuk upacara penyembahan).</t>
        </is>
      </c>
      <c r="C28" s="7" t="inlineStr">
        <is>
          <t>MPPHM 17(3)(d)</t>
        </is>
      </c>
      <c r="D28" s="7" t="inlineStr"/>
      <c r="E28" s="7" t="inlineStr"/>
      <c r="F28" t="inlineStr">
        <is>
          <t>A</t>
        </is>
      </c>
    </row>
    <row r="29">
      <c r="A29" s="7" t="inlineStr">
        <is>
          <t>A22</t>
        </is>
      </c>
      <c r="B29" s="7" t="inlineStr">
        <is>
          <t>Produk baharu yang dipohon sudah sedia untuk dikomersialkan: bahan mentah tersedia untuk disemak semasa audit, tiada perubahan pada bahan mentah, ramuan atau pelabelan, ujian percubaan (trial run atau pilot run) telah dijalankan di aliran pengeluaran, dan produk telah diluluskan pengurusan syarikat. Produk di peringkat awal R&amp;D yang belum sedia dikomersialkan tidak dipohon.</t>
        </is>
      </c>
      <c r="C29" s="7" t="inlineStr">
        <is>
          <t>MPPHM 6(10), 17(2)(h)</t>
        </is>
      </c>
      <c r="D29" s="7" t="inlineStr"/>
      <c r="E29" s="7" t="inlineStr"/>
      <c r="F29" t="inlineStr">
        <is>
          <t>A</t>
        </is>
      </c>
    </row>
    <row r="30">
      <c r="A30" s="7" t="inlineStr">
        <is>
          <t>A23</t>
        </is>
      </c>
      <c r="B30" s="7" t="inlineStr">
        <is>
          <t>Jika mana-mana produk atau sebahagian prosesnya (cth. penyamakan, salutan, pencetakan, pengisian) dibuat oleh pengilang kontrak, pengilang itu memegang SPHM skim Pengilangan Kontrak/OEM yang sah, dan salinannya disimpan.</t>
        </is>
      </c>
      <c r="C30" s="7" t="inlineStr">
        <is>
          <t>MPPHM 17(17), 18(8)</t>
        </is>
      </c>
      <c r="D30" s="7" t="inlineStr"/>
      <c r="E30" s="7" t="inlineStr"/>
      <c r="F30" t="inlineStr">
        <is>
          <t>A</t>
        </is>
      </c>
    </row>
    <row r="31">
      <c r="A31" s="7" t="inlineStr">
        <is>
          <t>A24</t>
        </is>
      </c>
      <c r="B31" s="7" t="inlineStr">
        <is>
          <t>Jika syarikat turut mengilang produk barang gunaan untuk jenama syarikat lain (pengilangan kontrak atau OEM, termasuk kerja upah), syarikat memperoleh SPHM di bawah skim Pengilangan Kontrak/OEM sebelum menawarkan perkhidmatan itu.</t>
        </is>
      </c>
      <c r="C31" s="7" t="inlineStr">
        <is>
          <t>MPPHM 17(17)(a), 18(8)</t>
        </is>
      </c>
      <c r="D31" s="7" t="inlineStr"/>
      <c r="E31" s="7" t="inlineStr"/>
      <c r="F31" t="inlineStr">
        <is>
          <t>A</t>
        </is>
      </c>
    </row>
    <row r="32">
      <c r="A32" s="7" t="inlineStr">
        <is>
          <t>A25</t>
        </is>
      </c>
      <c r="B32" s="7" t="inlineStr">
        <is>
          <t>Rumusan (ditanda selepas audit lapangan): semakan bahagian B hingga M tidak menunjukkan sebarang ketidakakuran yang belum diperbetulkan terhadap MS berkaitan (MS 2738:2023 dan, jika berkaitan, MS 2803:2025) serta perundangan yang terpakai.</t>
        </is>
      </c>
      <c r="C32" s="7" t="inlineStr">
        <is>
          <t>MPPHM 18(5)(b); MPPHM Pindaan 18(5); MS 2738 kl. 5*; MS 2803</t>
        </is>
      </c>
      <c r="D32" s="7" t="inlineStr"/>
      <c r="E32" s="7" t="inlineStr"/>
      <c r="F32" t="inlineStr">
        <is>
          <t>A</t>
        </is>
      </c>
    </row>
    <row r="33">
      <c r="A33" s="4" t="inlineStr">
        <is>
          <t>Bahagian B: Pengurusan Halal &amp; MHMS mengikut Saiz Industri</t>
        </is>
      </c>
      <c r="B33" s="5" t="n"/>
      <c r="C33" s="5" t="n"/>
      <c r="D33" s="5" t="n"/>
      <c r="E33" s="6" t="n"/>
    </row>
    <row r="34" ht="26" customHeight="1">
      <c r="A34" s="2" t="inlineStr">
        <is>
          <t>Semak manual HAS atau IHCS, surat lantikan, minit mesyuarat, laporan audit dalaman dan semakan HAS, kemudian sahkan melalui temu bual dengan pengurusan, Eksekutif atau Penyelia Halal, dan pekerja.</t>
        </is>
      </c>
    </row>
    <row r="35">
      <c r="A35" s="7" t="inlineStr">
        <is>
          <t>B1</t>
        </is>
      </c>
      <c r="B35" s="7" t="inlineStr">
        <is>
          <t>Pengurusan atasan menunjukkan komitmen terhadap halal: tanggungjawab pengurusan halal ditetapkan, dan sumber manusia yang mencukupi dengan beban tugas yang bersesuaian disediakan untuk pengurusan halal (termasuk JKHD).</t>
        </is>
      </c>
      <c r="C35" s="7" t="inlineStr">
        <is>
          <t>MS 2738 kl. 4.1*; MHMS 5(4) (JKHD)</t>
        </is>
      </c>
      <c r="D35" s="7" t="inlineStr"/>
      <c r="E35" s="7" t="inlineStr"/>
      <c r="F35" t="inlineStr">
        <is>
          <t>B</t>
        </is>
      </c>
    </row>
    <row r="36">
      <c r="A36" s="7" t="inlineStr">
        <is>
          <t>B2</t>
        </is>
      </c>
      <c r="B36" s="7" t="inlineStr">
        <is>
          <t>Polisi halal bertulis menyatakan komitmen syarikat untuk menghasilkan barang gunaan halal dan mematuhi keperluan Pensijilan Halal Malaysia. Polisi ini dipamerkan dan disebarkan kepada pekerja serta pihak berkepentingan, dan pekerja yang ditemu bual dapat menerangkannya.</t>
        </is>
      </c>
      <c r="C36" s="7" t="inlineStr">
        <is>
          <t>MHMS 5(2) (Polisi Halal), 6, 7(1)(b)(i)</t>
        </is>
      </c>
      <c r="D36" s="7" t="inlineStr"/>
      <c r="E36" s="7" t="inlineStr"/>
      <c r="F36" t="inlineStr">
        <is>
          <t>B</t>
        </is>
      </c>
    </row>
    <row r="37">
      <c r="A37" s="7" t="inlineStr">
        <is>
          <t>B3</t>
        </is>
      </c>
      <c r="B37" s="7" t="inlineStr">
        <is>
          <t>Besar/Sederhana: sekurang-kurangnya 2 pekerja Muslim warganegara Malaysia berjawatan tetap dilantik dan bertugas di kawasan pemprosesan sepanjang tempoh operasi atau syif.</t>
        </is>
      </c>
      <c r="C37" s="7" t="inlineStr">
        <is>
          <t>MPPHM 18(5)(c)(i), 17(9)(a)</t>
        </is>
      </c>
      <c r="D37" s="7" t="inlineStr"/>
      <c r="E37" s="7" t="inlineStr"/>
      <c r="F37" t="inlineStr">
        <is>
          <t>B</t>
        </is>
      </c>
    </row>
    <row r="38">
      <c r="A38" s="7" t="inlineStr">
        <is>
          <t>B4</t>
        </is>
      </c>
      <c r="B38" s="7" t="inlineStr">
        <is>
          <t>Kecil/Mikro: sekurang-kurangnya 1 pekerja Muslim warganegara Malaysia berjawatan tetap dilantik dan bertugas di kawasan pemprosesan sepanjang tempoh operasi atau syif.</t>
        </is>
      </c>
      <c r="C38" s="7" t="inlineStr">
        <is>
          <t>MPPHM 18(5)(c)(ii), 18(5)(c)(iii), 17(9)(a)</t>
        </is>
      </c>
      <c r="D38" s="7" t="inlineStr"/>
      <c r="E38" s="7" t="inlineStr"/>
      <c r="F38" t="inlineStr">
        <is>
          <t>B</t>
        </is>
      </c>
    </row>
    <row r="39">
      <c r="A39" s="7" t="inlineStr">
        <is>
          <t>B5</t>
        </is>
      </c>
      <c r="B39" s="7" t="inlineStr">
        <is>
          <t>Besar/Sederhana: Eksekutif Halal dilantik bagi setiap cawangan premis.</t>
        </is>
      </c>
      <c r="C39" s="7" t="inlineStr">
        <is>
          <t>MPPHM 18(5)(c)(i); MHMS 7(1)(a)(iii)</t>
        </is>
      </c>
      <c r="D39" s="7" t="inlineStr"/>
      <c r="E39" s="7" t="inlineStr"/>
      <c r="F39" t="inlineStr">
        <is>
          <t>B</t>
        </is>
      </c>
    </row>
    <row r="40">
      <c r="A40" s="7" t="inlineStr">
        <is>
          <t>B6</t>
        </is>
      </c>
      <c r="B40" s="7" t="inlineStr">
        <is>
          <t>Besar/Sederhana: Eksekutif Halal memenuhi semua kelayakan: Muslim, warganegara Malaysia, berjawatan tetap, berkelulusan minimum Diploma Pengurusan Halal atau setara (atau berpengalaman sekurang-kurangnya 5 tahun dalam pengurusan halal), dan memiliki Sijil Eksekutif Halal daripada Penyedia Latihan Halal yang berdaftar dengan HPB JAKIM.</t>
        </is>
      </c>
      <c r="C40" s="7" t="inlineStr">
        <is>
          <t>MPPHM 3; MHMS 5(3) (Eksekutif Halal)</t>
        </is>
      </c>
      <c r="D40" s="7" t="inlineStr"/>
      <c r="E40" s="7" t="inlineStr"/>
      <c r="F40" t="inlineStr">
        <is>
          <t>B</t>
        </is>
      </c>
    </row>
    <row r="41">
      <c r="A41" s="7" t="inlineStr">
        <is>
          <t>B7</t>
        </is>
      </c>
      <c r="B41" s="7" t="inlineStr">
        <is>
          <t>Besar/Sederhana: Eksekutif Halal dilantik secara rasmi oleh pengurusan tertinggi, jawatannya khusus untuk pengurusan halal, dan tugas lain yang diberikan tidak mengganggu tugas hakikinya.</t>
        </is>
      </c>
      <c r="C41" s="7" t="inlineStr">
        <is>
          <t>MHMS 5(3) (Eksekutif Halal)</t>
        </is>
      </c>
      <c r="D41" s="7" t="inlineStr"/>
      <c r="E41" s="7" t="inlineStr"/>
      <c r="F41" t="inlineStr">
        <is>
          <t>B</t>
        </is>
      </c>
    </row>
    <row r="42">
      <c r="A42" s="7" t="inlineStr">
        <is>
          <t>B8</t>
        </is>
      </c>
      <c r="B42" s="7" t="inlineStr">
        <is>
          <t>Besar/Sederhana: Eksekutif Halal menjalankan tugasnya seperti dalam Manual HAS: memastikan HAS dilaksanakan dengan berkesan, menguruskan permohonan SPHM dan perisytiharan dalam MYeHALAL, mengurus dokumentasi halal, dan menjadi pegawai perhubungan dengan pihak berkuasa. Bukti pelaksanaan tugas ini (cth. rekod, surat-menyurat, kemas kini MYeHALAL) dapat ditunjukkan.</t>
        </is>
      </c>
      <c r="C42" s="7" t="inlineStr">
        <is>
          <t>MHMS 5(3) (Eksekutif Halal)</t>
        </is>
      </c>
      <c r="D42" s="7" t="inlineStr"/>
      <c r="E42" s="7" t="inlineStr"/>
      <c r="F42" t="inlineStr">
        <is>
          <t>B</t>
        </is>
      </c>
    </row>
    <row r="43">
      <c r="A43" s="7" t="inlineStr">
        <is>
          <t>B9</t>
        </is>
      </c>
      <c r="B43" s="7" t="inlineStr">
        <is>
          <t>Kecil: Penyelia Halal (Muslim, warganegara Malaysia, berjawatan tetap) dilantik secara bertulis untuk menyelia kawasan pemprosesan.</t>
        </is>
      </c>
      <c r="C43" s="7" t="inlineStr">
        <is>
          <t>MPPHM 3, 18(5)(c)(ii)</t>
        </is>
      </c>
      <c r="D43" s="7" t="inlineStr"/>
      <c r="E43" s="7" t="inlineStr"/>
      <c r="F43" t="inlineStr">
        <is>
          <t>B</t>
        </is>
      </c>
    </row>
    <row r="44">
      <c r="A44" s="7" t="inlineStr">
        <is>
          <t>B10</t>
        </is>
      </c>
      <c r="B44" s="7" t="inlineStr">
        <is>
          <t>Besar/Sederhana: Jawatankuasa Halal Dalaman (JKHD) ditubuhkan bagi premis dan bagi setiap cawangan premis yang mempunyai pengurusan operasi yang berbeza.</t>
        </is>
      </c>
      <c r="C44" s="7" t="inlineStr">
        <is>
          <t>MPPHM 18(5)(c)(i); MHMS 5(4) (JKHD)</t>
        </is>
      </c>
      <c r="D44" s="7" t="inlineStr"/>
      <c r="E44" s="7" t="inlineStr"/>
      <c r="F44" t="inlineStr">
        <is>
          <t>B</t>
        </is>
      </c>
    </row>
    <row r="45">
      <c r="A45" s="7" t="inlineStr">
        <is>
          <t>B11</t>
        </is>
      </c>
      <c r="B45" s="7" t="inlineStr">
        <is>
          <t>Besar/Sederhana: ahli JKHD dilantik secara rasmi dan bertulis oleh pengurusan tertinggi daripada kalangan kakitangan tetap. Huraian tugas, carta organisasi dan terma rujukan JKHD dinyatakan dalam Manual HAS, dan JKHD diberi kuasa membuat keputusan berkaitan pengurusan halal.</t>
        </is>
      </c>
      <c r="C45" s="7" t="inlineStr">
        <is>
          <t>MHMS 5(4) (JKHD)</t>
        </is>
      </c>
      <c r="D45" s="7" t="inlineStr"/>
      <c r="E45" s="7" t="inlineStr"/>
      <c r="F45" t="inlineStr">
        <is>
          <t>B</t>
        </is>
      </c>
    </row>
    <row r="46">
      <c r="A46" s="7" t="inlineStr">
        <is>
          <t>B12</t>
        </is>
      </c>
      <c r="B46" s="7" t="inlineStr">
        <is>
          <t>Besar/Sederhana: JKHD mempunyai sekurang-kurangnya 4 ahli (Pengerusi, Eksekutif Halal, wakil pembelian atau perolehan, dan wakil pemprosesan), serta wakil Bahagian R&amp;D (jika ada).</t>
        </is>
      </c>
      <c r="C46" s="7" t="inlineStr">
        <is>
          <t>MHMS 5(4) (JKHD), 7(1)(a)(i)</t>
        </is>
      </c>
      <c r="D46" s="7" t="inlineStr"/>
      <c r="E46" s="7" t="inlineStr"/>
      <c r="F46" t="inlineStr">
        <is>
          <t>B</t>
        </is>
      </c>
    </row>
    <row r="47">
      <c r="A47" s="7" t="inlineStr">
        <is>
          <t>B13</t>
        </is>
      </c>
      <c r="B47" s="7" t="inlineStr">
        <is>
          <t>Besar/Sederhana: Pengerusi JKHD berjawatan setara atau lebih tinggi daripada Eksekutif Halal dan kompeten dalam Pensijilan Halal Malaysia. Keutamaan jawatan Pengerusi diberi kepada Muslim.</t>
        </is>
      </c>
      <c r="C47" s="7" t="inlineStr">
        <is>
          <t>MHMS 5(4) (JKHD)</t>
        </is>
      </c>
      <c r="D47" s="7" t="inlineStr"/>
      <c r="E47" s="7" t="inlineStr"/>
      <c r="F47" t="inlineStr">
        <is>
          <t>B</t>
        </is>
      </c>
    </row>
    <row r="48">
      <c r="A48" s="7" t="inlineStr">
        <is>
          <t>B14</t>
        </is>
      </c>
      <c r="B48" s="7" t="inlineStr">
        <is>
          <t>Besar/Sederhana: JKHD bermesyuarat sekurang-kurangnya 2 kali setahun dengan agenda halal, dan minit mesyuarat disimpan serta mudah dirujuk.</t>
        </is>
      </c>
      <c r="C48" s="7" t="inlineStr">
        <is>
          <t>MHMS 5(4) (JKHD)</t>
        </is>
      </c>
      <c r="D48" s="7" t="inlineStr"/>
      <c r="E48" s="7" t="inlineStr"/>
      <c r="F48" t="inlineStr">
        <is>
          <t>B</t>
        </is>
      </c>
    </row>
    <row r="49">
      <c r="A49" s="7" t="inlineStr">
        <is>
          <t>B15</t>
        </is>
      </c>
      <c r="B49" s="7" t="inlineStr">
        <is>
          <t>Besar/Sederhana: minit JKHD menunjukkan JKHD meluluskan prosedur HAS dan senarai induk bahan mentah (serta setiap perubahannya), memantau pelaksanaan HAS, dan membuat keputusan berkaitan halal.</t>
        </is>
      </c>
      <c r="C49" s="7" t="inlineStr">
        <is>
          <t>MHMS 5(4) (JKHD)</t>
        </is>
      </c>
      <c r="D49" s="7" t="inlineStr"/>
      <c r="E49" s="7" t="inlineStr"/>
      <c r="F49" t="inlineStr">
        <is>
          <t>B</t>
        </is>
      </c>
    </row>
    <row r="50">
      <c r="A50" s="7" t="inlineStr">
        <is>
          <t>B16</t>
        </is>
      </c>
      <c r="B50" s="7" t="inlineStr">
        <is>
          <t>Besar/Sederhana: Manual HAS dibangunkan berdasarkan operasi sebenar serta MHMS 2020, MS, MPPHM, fatwa dan perundangan. Manual ini didokumenkan berasingan daripada sistem pengurusan lain (cth. ISO 9001), dikemas kini apabila berlaku perubahan, dan diluluskan pengurusan tertinggi.</t>
        </is>
      </c>
      <c r="C50" s="7" t="inlineStr">
        <is>
          <t>MPPHM 17(13)(a), 18(5)(c)(i), 20; MHMS 5(1) (Manual HAS)</t>
        </is>
      </c>
      <c r="D50" s="7" t="inlineStr"/>
      <c r="E50" s="7" t="inlineStr"/>
      <c r="F50" t="inlineStr">
        <is>
          <t>B</t>
        </is>
      </c>
    </row>
    <row r="51">
      <c r="A51" s="7" t="inlineStr">
        <is>
          <t>B17</t>
        </is>
      </c>
      <c r="B51" s="7" t="inlineStr">
        <is>
          <t>Besar/Sederhana: Manual HAS mengandungi profil syarikat, objektif dan skop, polisi halal, JKHD, serta prosedur audit halal dalaman, kawalan risiko halal, kawalan bahan mentah, latihan halal, kebolehkesanan, semakan HAS, analisis makmal dan sertu. Setiap prosedur mencatatkan tarikh berkuat kuasa, tarikh kemas kini, penyedia dan pengesah.</t>
        </is>
      </c>
      <c r="C51" s="7" t="inlineStr">
        <is>
          <t>MHMS 5(1) (Manual HAS)</t>
        </is>
      </c>
      <c r="D51" s="7" t="inlineStr"/>
      <c r="E51" s="7" t="inlineStr"/>
      <c r="F51" t="inlineStr">
        <is>
          <t>B</t>
        </is>
      </c>
    </row>
    <row r="52">
      <c r="A52" s="7" t="inlineStr">
        <is>
          <t>B18</t>
        </is>
      </c>
      <c r="B52" s="7" t="inlineStr">
        <is>
          <t>Besar/Sederhana: carta alir disediakan bagi setiap aliran pemprosesan produk yang berbeza (cth. penyamakan kulit, pengadunan detergen, penyemperitan plastik, pencetakan).</t>
        </is>
      </c>
      <c r="C52" s="7" t="inlineStr">
        <is>
          <t>MHMS 7(1)(a)(ii)</t>
        </is>
      </c>
      <c r="D52" s="7" t="inlineStr"/>
      <c r="E52" s="7" t="inlineStr"/>
      <c r="F52" t="inlineStr">
        <is>
          <t>B</t>
        </is>
      </c>
    </row>
    <row r="53">
      <c r="A53" s="7" t="inlineStr">
        <is>
          <t>B19</t>
        </is>
      </c>
      <c r="B53" s="7" t="inlineStr">
        <is>
          <t>Besar/Sederhana: titik kawalan halal (HCP) ditentukan berdasarkan carta alir dan pelan lantai, merangkumi R&amp;D, produk, pemprosesan, premis dan peralatan, pekerja, pembungkusan, penyimpanan serta pengangkutan.</t>
        </is>
      </c>
      <c r="C53" s="7" t="inlineStr">
        <is>
          <t>MHMS 5(6) (Kawalan Risiko Halal)</t>
        </is>
      </c>
      <c r="D53" s="7" t="inlineStr"/>
      <c r="E53" s="7" t="inlineStr"/>
      <c r="F53" t="inlineStr">
        <is>
          <t>B</t>
        </is>
      </c>
    </row>
    <row r="54">
      <c r="A54" s="7" t="inlineStr">
        <is>
          <t>B20</t>
        </is>
      </c>
      <c r="B54" s="7" t="inlineStr">
        <is>
          <t>Besar/Sederhana: pelan pengurusan risiko halal menyatakan, bagi setiap HCP, risiko halal, mekanisme kawalan (kaedah, kekerapan, PIC), tindakan pembetulan dan rekod. Pelan ini dibangunkan berasingan daripada sistem lain (cth. GMP).</t>
        </is>
      </c>
      <c r="C54" s="7" t="inlineStr">
        <is>
          <t>MHMS 5(6) (Kawalan Risiko Halal)</t>
        </is>
      </c>
      <c r="D54" s="7" t="inlineStr"/>
      <c r="E54" s="7" t="inlineStr"/>
      <c r="F54" t="inlineStr">
        <is>
          <t>B</t>
        </is>
      </c>
    </row>
    <row r="55">
      <c r="A55" s="7" t="inlineStr">
        <is>
          <t>B21</t>
        </is>
      </c>
      <c r="B55" s="7" t="inlineStr">
        <is>
          <t>Besar/Sederhana: audit halal dalaman dibuat sekurang-kurangnya sekali setahun bagi setiap cawangan oleh juruaudit yang dilantik JKHD. Juruaudit dalaman memiliki Sijil Audit Halal Dalaman atau Sijil Eksekutif Halal, manakala juruaudit pihak ketiga memiliki Sijil Audit Halal Dalaman.</t>
        </is>
      </c>
      <c r="C55" s="7" t="inlineStr">
        <is>
          <t>MHMS 5(5) (Audit Halal Dalaman)</t>
        </is>
      </c>
      <c r="D55" s="7" t="inlineStr"/>
      <c r="E55" s="7" t="inlineStr"/>
      <c r="F55" t="inlineStr">
        <is>
          <t>B</t>
        </is>
      </c>
    </row>
    <row r="56">
      <c r="A56" s="7" t="inlineStr">
        <is>
          <t>B22</t>
        </is>
      </c>
      <c r="B56" s="7" t="inlineStr">
        <is>
          <t>Besar/Sederhana: laporan dan senarai semak audit halal dalaman (pematuhan prosedur dan HCP) dibentangkan kepada JKHD. Tindakan pembetulan diambil dengan segera dan disahkan oleh JKHD.</t>
        </is>
      </c>
      <c r="C56" s="7" t="inlineStr">
        <is>
          <t>MHMS 5(5) (Audit Halal Dalaman)</t>
        </is>
      </c>
      <c r="D56" s="7" t="inlineStr"/>
      <c r="E56" s="7" t="inlineStr"/>
      <c r="F56" t="inlineStr">
        <is>
          <t>B</t>
        </is>
      </c>
    </row>
    <row r="57">
      <c r="A57" s="7" t="inlineStr">
        <is>
          <t>B23</t>
        </is>
      </c>
      <c r="B57" s="7" t="inlineStr">
        <is>
          <t>Besar/Sederhana: audit pembekal dibuat apabila perlu, terutamanya bagi pembekal bahan kritikal (cth. kulit, lemak dan terbitannya, enzim, karbon teraktif).</t>
        </is>
      </c>
      <c r="C57" s="7" t="inlineStr">
        <is>
          <t>MHMS 5(5) (Audit Halal Dalaman)</t>
        </is>
      </c>
      <c r="D57" s="7" t="inlineStr"/>
      <c r="E57" s="7" t="inlineStr"/>
      <c r="F57" t="inlineStr">
        <is>
          <t>B</t>
        </is>
      </c>
    </row>
    <row r="58">
      <c r="A58" s="7" t="inlineStr">
        <is>
          <t>B24</t>
        </is>
      </c>
      <c r="B58" s="7" t="inlineStr">
        <is>
          <t>Besar/Sederhana: semakan HAS dibuat sekurang-kurangnya sekali setahun oleh JKHD bersama pengurusan tertinggi. Semakan ini meliputi keberkesanan HAS serta keupayaan dan keberkesanan ahli JKHD, dan keputusannya diperakui secara bertulis oleh pengurusan tertinggi.</t>
        </is>
      </c>
      <c r="C58" s="7" t="inlineStr">
        <is>
          <t>MHMS 5(10) (Semakan HAS)</t>
        </is>
      </c>
      <c r="D58" s="7" t="inlineStr"/>
      <c r="E58" s="7" t="inlineStr"/>
      <c r="F58" t="inlineStr">
        <is>
          <t>B</t>
        </is>
      </c>
    </row>
    <row r="59">
      <c r="A59" s="7" t="inlineStr">
        <is>
          <t>B25</t>
        </is>
      </c>
      <c r="B59" s="7" t="inlineStr">
        <is>
          <t>Besar/Sederhana: prosedur analisis makmal (jika berkaitan) menetapkan makmal yang digunakan dan skop analisis yang sesuai dengan produk (cth. analisis fizikal kulit dan bulu, profil dan sumber lemak dan minyak, atau profil dan sumber protein). Sampel untuk tujuan pensijilan dianalisis di MyHAC atau Jabatan Kimia Malaysia sahaja, manakala analisis lain (cth. semakan dalaman bahan) dibuat di makmal yang diakreditasi ISO/IEC 17025 bagi skop analisis tersebut.</t>
        </is>
      </c>
      <c r="C59" s="7" t="inlineStr">
        <is>
          <t>MHMS 5(11) (Analisis Makmal); MPPHM Pindaan 55</t>
        </is>
      </c>
      <c r="D59" s="7" t="inlineStr"/>
      <c r="E59" s="7" t="inlineStr"/>
      <c r="F59" t="inlineStr">
        <is>
          <t>B</t>
        </is>
      </c>
    </row>
    <row r="60">
      <c r="A60" s="7" t="inlineStr">
        <is>
          <t>B26</t>
        </is>
      </c>
      <c r="B60" s="7" t="inlineStr">
        <is>
          <t>Besar/Sederhana: prosedur sertu bertulis disediakan selaras dengan Garis Panduan Sertu JAKIM dan peraturan MAIN/JAIN, dan pekerja yang berkaitan tahu tindakan yang perlu diambil jika berlaku pencemaran najis mughallazah.</t>
        </is>
      </c>
      <c r="C60" s="7" t="inlineStr">
        <is>
          <t>MHMS 5(12) (Sertu)</t>
        </is>
      </c>
      <c r="D60" s="7" t="inlineStr"/>
      <c r="E60" s="7" t="inlineStr"/>
      <c r="F60" t="inlineStr">
        <is>
          <t>B</t>
        </is>
      </c>
    </row>
    <row r="61">
      <c r="A61" s="7" t="inlineStr">
        <is>
          <t>B27</t>
        </is>
      </c>
      <c r="B61" s="7" t="inlineStr">
        <is>
          <t>Besar/Sederhana: prosedur kebolehkesanan dan penarikan balik produk disediakan, dan simulasi penarikan balik (mock recall) dibuat sekurang-kurangnya sekali setahun.</t>
        </is>
      </c>
      <c r="C61" s="7" t="inlineStr">
        <is>
          <t>MHMS 5(9) (Kebolehkesanan)</t>
        </is>
      </c>
      <c r="D61" s="7" t="inlineStr"/>
      <c r="E61" s="7" t="inlineStr"/>
      <c r="F61" t="inlineStr">
        <is>
          <t>B</t>
        </is>
      </c>
    </row>
    <row r="62">
      <c r="A62" s="7" t="inlineStr">
        <is>
          <t>B28</t>
        </is>
      </c>
      <c r="B62" s="7" t="inlineStr">
        <is>
          <t>Kecil/Mikro: manual IHCS mengandungi polisi halal, prosedur kawalan bahan mentah dan prosedur kebolehkesanan, dan manual ini dilaksanakan seperti yang ditulis.</t>
        </is>
      </c>
      <c r="C62" s="7" t="inlineStr">
        <is>
          <t>MPPHM 17(13)(a), 18(5)(c)(ii), 18(5)(c)(iii), 19; MHMS 6, 7(1)(b)</t>
        </is>
      </c>
      <c r="D62" s="7" t="inlineStr"/>
      <c r="E62" s="7" t="inlineStr"/>
      <c r="F62" t="inlineStr">
        <is>
          <t>B</t>
        </is>
      </c>
    </row>
    <row r="63">
      <c r="A63" s="7" t="inlineStr">
        <is>
          <t>B29</t>
        </is>
      </c>
      <c r="B63" s="7" t="inlineStr">
        <is>
          <t>Setiap perubahan formulasi atau proses diluluskan oleh JKHD, Eksekutif Halal atau Penyelia Halal sebelum dilaksanakan, dan bahan baharu yang terlibat diisytiharkan kepada pihak berkuasa melalui MYeHALAL sebelum digunakan. Bahan sampel atau percubaan tidak digunakan dalam pengeluaran komersial sebelum diluluskan.</t>
        </is>
      </c>
      <c r="C63" s="7" t="inlineStr">
        <is>
          <t>MHMS 5(7) (Kawalan Bahan Mentah); MPPHM 17(1)(g)</t>
        </is>
      </c>
      <c r="D63" s="7" t="inlineStr"/>
      <c r="E63" s="7" t="inlineStr"/>
      <c r="F63" t="inlineStr">
        <is>
          <t>B</t>
        </is>
      </c>
    </row>
    <row r="64">
      <c r="A64" s="7" t="inlineStr">
        <is>
          <t>B30</t>
        </is>
      </c>
      <c r="B64" s="7" t="inlineStr">
        <is>
          <t>Rekod pemantauan berkala (cth. pemeriksaan oleh Eksekutif atau Penyelia Halal) menunjukkan kawalan halal dilaksanakan secara berterusan.</t>
        </is>
      </c>
      <c r="C64" s="7" t="inlineStr">
        <is>
          <t>MPPHM 17(13)(b)</t>
        </is>
      </c>
      <c r="D64" s="7" t="inlineStr"/>
      <c r="E64" s="7" t="inlineStr"/>
      <c r="F64" t="inlineStr">
        <is>
          <t>B</t>
        </is>
      </c>
    </row>
    <row r="65">
      <c r="A65" s="7" t="inlineStr">
        <is>
          <t>B31</t>
        </is>
      </c>
      <c r="B65" s="7" t="inlineStr">
        <is>
          <t>Salinan terkini MHMS 2020, MS yang berkaitan, pekeliling dan fatwa yang menyentuh produk syarikat (cth. fatwa bone china dan fatwa alkohol dalam produk bukan makanan) disimpan, dan perubahan yang dikehendaki telah dilaksanakan.</t>
        </is>
      </c>
      <c r="C65" s="7" t="inlineStr">
        <is>
          <t>MPPHM 17(16)(b)</t>
        </is>
      </c>
      <c r="D65" s="7" t="inlineStr"/>
      <c r="E65" s="7" t="inlineStr"/>
      <c r="F65" t="inlineStr">
        <is>
          <t>B</t>
        </is>
      </c>
    </row>
    <row r="66">
      <c r="A66" s="4" t="inlineStr">
        <is>
          <t>Bahagian C: Premis &amp; Persekitaran</t>
        </is>
      </c>
      <c r="B66" s="5" t="n"/>
      <c r="C66" s="5" t="n"/>
      <c r="D66" s="5" t="n"/>
      <c r="E66" s="6" t="n"/>
    </row>
    <row r="67" ht="26" customHeight="1">
      <c r="A67" s="2" t="inlineStr">
        <is>
          <t>Dengan merujuk pelan lantai, jalan dari sempadan premis ke kawasan penerimaan, pengeluaran, stor, pejabat, kantin dan asrama pekerja.</t>
        </is>
      </c>
    </row>
    <row r="68">
      <c r="A68" s="7" t="inlineStr">
        <is>
          <t>C1</t>
        </is>
      </c>
      <c r="B68" s="7" t="inlineStr">
        <is>
          <t>Pelan lantai terkini tersedia dan sepadan dengan susun atur sebenar. Susun atur mencegah pencemaran silang, memudahkan pembersihan, dan menjaga keselamatan serta kesihatan.</t>
        </is>
      </c>
      <c r="C68" s="7" t="inlineStr">
        <is>
          <t>MPPHM 17(8)(j)</t>
        </is>
      </c>
      <c r="D68" s="7" t="inlineStr"/>
      <c r="E68" s="7" t="inlineStr"/>
      <c r="F68" t="inlineStr">
        <is>
          <t>C</t>
        </is>
      </c>
    </row>
    <row r="69">
      <c r="A69" s="7" t="inlineStr">
        <is>
          <t>C2</t>
        </is>
      </c>
      <c r="B69" s="7" t="inlineStr">
        <is>
          <t>Pencemaran daripada premis bersebelahan yang mengendalikan bahan tidak halal (cth. penyamakan kulit babi, pemprosesan lemak babi), loji kumbahan dan ladang ternakan (khususnya babi) dikawal dengan berkesan.</t>
        </is>
      </c>
      <c r="C69" s="7" t="inlineStr">
        <is>
          <t>MPPHM 17(8)(b); MS 2738 kl. 4.3*</t>
        </is>
      </c>
      <c r="D69" s="7" t="inlineStr"/>
      <c r="E69" s="7" t="inlineStr"/>
      <c r="F69" t="inlineStr">
        <is>
          <t>C</t>
        </is>
      </c>
    </row>
    <row r="70">
      <c r="A70" s="7" t="inlineStr">
        <is>
          <t>C3</t>
        </is>
      </c>
      <c r="B70" s="7" t="inlineStr">
        <is>
          <t>Premis berpagar atau dikawal daripada haiwan peliharaan, haiwan liar, serangga dan perosak. Tiada anjing (termasuk anjing pengawal) dipelihara atau dibawa masuk ke kawasan premis, dan tiada kesan pencerobohan babi hutan.</t>
        </is>
      </c>
      <c r="C70" s="7" t="inlineStr">
        <is>
          <t>MPPHM 17(8)(c)</t>
        </is>
      </c>
      <c r="D70" s="7" t="inlineStr"/>
      <c r="E70" s="7" t="inlineStr"/>
      <c r="F70" t="inlineStr">
        <is>
          <t>C</t>
        </is>
      </c>
    </row>
    <row r="71">
      <c r="A71" s="7" t="inlineStr">
        <is>
          <t>C4</t>
        </is>
      </c>
      <c r="B71" s="7" t="inlineStr">
        <is>
          <t>Bagi bangunan atau lot yang dikongsi dengan syarikat lain, tiada aktiviti melibatkan bahan tidak halal di ruang yang dikongsi, dan pemisahan fizikal serta kawalan akses adalah berkesan.</t>
        </is>
      </c>
      <c r="C71" s="7" t="inlineStr">
        <is>
          <t>MPPHM 17(8)(a), 17(8)(b)</t>
        </is>
      </c>
      <c r="D71" s="7" t="inlineStr"/>
      <c r="E71" s="7" t="inlineStr"/>
      <c r="F71" t="inlineStr">
        <is>
          <t>C</t>
        </is>
      </c>
    </row>
    <row r="72">
      <c r="A72" s="7" t="inlineStr">
        <is>
          <t>C5</t>
        </is>
      </c>
      <c r="B72" s="7" t="inlineStr">
        <is>
          <t>Seluruh premis, termasuk pejabat, kantin, bilik rehat, loker dan asrama pekerja, bebas daripada bahan dan produk tidak halal (cth. minuman keras, makanan berasaskan babi).</t>
        </is>
      </c>
      <c r="C72" s="7" t="inlineStr">
        <is>
          <t>MPPHM 17(8)(a)</t>
        </is>
      </c>
      <c r="D72" s="7" t="inlineStr"/>
      <c r="E72" s="7" t="inlineStr"/>
      <c r="F72" t="inlineStr">
        <is>
          <t>C</t>
        </is>
      </c>
    </row>
    <row r="73">
      <c r="A73" s="7" t="inlineStr">
        <is>
          <t>C6</t>
        </is>
      </c>
      <c r="B73" s="7" t="inlineStr">
        <is>
          <t>Premis dalam keadaan baik, bersih dan teratur.</t>
        </is>
      </c>
      <c r="C73" s="7" t="inlineStr">
        <is>
          <t>MPPHM 17(8)(d); MS 2738 kl. 4.3*</t>
        </is>
      </c>
      <c r="D73" s="7" t="inlineStr"/>
      <c r="E73" s="7" t="inlineStr"/>
      <c r="F73" t="inlineStr">
        <is>
          <t>C</t>
        </is>
      </c>
    </row>
    <row r="74">
      <c r="A74" s="7" t="inlineStr">
        <is>
          <t>C7</t>
        </is>
      </c>
      <c r="B74" s="7" t="inlineStr">
        <is>
          <t>Lantai, dinding, siling, kipas, penghawa dingin, tingkap dan pintu bersih dan dalam keadaan baik.</t>
        </is>
      </c>
      <c r="C74" s="7" t="inlineStr">
        <is>
          <t>MPPHM 17(8)(e)</t>
        </is>
      </c>
      <c r="D74" s="7" t="inlineStr"/>
      <c r="E74" s="7" t="inlineStr"/>
      <c r="F74" t="inlineStr">
        <is>
          <t>C</t>
        </is>
      </c>
    </row>
    <row r="75">
      <c r="A75" s="7" t="inlineStr">
        <is>
          <t>C8</t>
        </is>
      </c>
      <c r="B75" s="7" t="inlineStr">
        <is>
          <t>Pengudaraan dan pencahayaan mencukupi, dan lampu di kawasan pemprosesan berfungsi, bersih dan bertutup.</t>
        </is>
      </c>
      <c r="C75" s="7" t="inlineStr">
        <is>
          <t>MPPHM 17(8)(g), 17(8)(h)</t>
        </is>
      </c>
      <c r="D75" s="7" t="inlineStr"/>
      <c r="E75" s="7" t="inlineStr"/>
      <c r="F75" t="inlineStr">
        <is>
          <t>C</t>
        </is>
      </c>
    </row>
    <row r="76">
      <c r="A76" s="7" t="inlineStr">
        <is>
          <t>C9</t>
        </is>
      </c>
      <c r="B76" s="7" t="inlineStr">
        <is>
          <t>Di kawasan pemprosesan, palet atau alas yang sesuai digunakan supaya bahan mentah dan produk tidak diletakkan terus di atas lantai.</t>
        </is>
      </c>
      <c r="C76" s="7" t="inlineStr">
        <is>
          <t>MPPHM 17(8)(f)</t>
        </is>
      </c>
      <c r="D76" s="7" t="inlineStr"/>
      <c r="E76" s="7" t="inlineStr"/>
      <c r="F76" t="inlineStr">
        <is>
          <t>C</t>
        </is>
      </c>
    </row>
    <row r="77">
      <c r="A77" s="7" t="inlineStr">
        <is>
          <t>C10</t>
        </is>
      </c>
      <c r="B77" s="7" t="inlineStr">
        <is>
          <t>Sistem saliran bersih dan berfungsi, dan air sisa dari kawasan proses basah (cth. penyamakan, pengadunan detergen) tidak mengalir ke kawasan bersih atau stor.</t>
        </is>
      </c>
      <c r="C77" s="7" t="inlineStr">
        <is>
          <t>MPPHM 17(8)(l)</t>
        </is>
      </c>
      <c r="D77" s="7" t="inlineStr"/>
      <c r="E77" s="7" t="inlineStr"/>
      <c r="F77" t="inlineStr">
        <is>
          <t>C</t>
        </is>
      </c>
    </row>
    <row r="78">
      <c r="A78" s="7" t="inlineStr">
        <is>
          <t>C11</t>
        </is>
      </c>
      <c r="B78" s="7" t="inlineStr">
        <is>
          <t>Reka bentuk, binaan dan kemudahan premis memenuhi keperluan amalan pengilangan yang baik (GMP) bagi jenis produk, dan premis mematuhi perundangan berkaitan premis.</t>
        </is>
      </c>
      <c r="C78" s="7" t="inlineStr">
        <is>
          <t>MPPHM 17(8)(i), 17(8)(m); MS 2738 kl. 4.3*</t>
        </is>
      </c>
      <c r="D78" s="7" t="inlineStr"/>
      <c r="E78" s="7" t="inlineStr"/>
      <c r="F78" t="inlineStr">
        <is>
          <t>C</t>
        </is>
      </c>
    </row>
    <row r="79">
      <c r="A79" s="7" t="inlineStr">
        <is>
          <t>C12</t>
        </is>
      </c>
      <c r="B79" s="7" t="inlineStr">
        <is>
          <t>Tiada alat atau unsur penyembahan di kawasan pemprosesan.</t>
        </is>
      </c>
      <c r="C79" s="7" t="inlineStr">
        <is>
          <t>MPPHM 17(15)</t>
        </is>
      </c>
      <c r="D79" s="7" t="inlineStr"/>
      <c r="E79" s="7" t="inlineStr"/>
      <c r="F79" t="inlineStr">
        <is>
          <t>C</t>
        </is>
      </c>
    </row>
    <row r="80">
      <c r="A80" s="7" t="inlineStr">
        <is>
          <t>C13</t>
        </is>
      </c>
      <c r="B80" s="7" t="inlineStr">
        <is>
          <t>Asrama pekerja terletak di bangunan berasingan. Jika berada di bangunan yang sama, asrama mempunyai pintu masuk berasingan, tiada laluan terus ke kawasan pemprosesan, dan aksesnya dikawal dengan berkesan.</t>
        </is>
      </c>
      <c r="C80" s="7" t="inlineStr">
        <is>
          <t>MPPHM 17(8)(k)</t>
        </is>
      </c>
      <c r="D80" s="7" t="inlineStr"/>
      <c r="E80" s="7" t="inlineStr"/>
      <c r="F80" t="inlineStr">
        <is>
          <t>C</t>
        </is>
      </c>
    </row>
    <row r="81">
      <c r="A81" s="7" t="inlineStr">
        <is>
          <t>C14</t>
        </is>
      </c>
      <c r="B81" s="7" t="inlineStr">
        <is>
          <t>Premis yang pernah digunakan untuk bahan najis mughallazah (cth. kilang yang diambil alih daripada penyamak kulit babi) atau yang tercemar najis mughallazah telah disertu, dan rekodnya disimpan.</t>
        </is>
      </c>
      <c r="C81" s="7" t="inlineStr">
        <is>
          <t>MPPHM 17(8)(n); MHMS 5(12) (Sertu)</t>
        </is>
      </c>
      <c r="D81" s="7" t="inlineStr"/>
      <c r="E81" s="7" t="inlineStr"/>
      <c r="F81" t="inlineStr">
        <is>
          <t>C</t>
        </is>
      </c>
    </row>
    <row r="82">
      <c r="A82" s="4" t="inlineStr">
        <is>
          <t>Bahagian D: Bahan Mentah, Pembekal &amp; Penerimaan</t>
        </is>
      </c>
      <c r="B82" s="5" t="n"/>
      <c r="C82" s="5" t="n"/>
      <c r="D82" s="5" t="n"/>
      <c r="E82" s="6" t="n"/>
    </row>
    <row r="83" ht="26" customHeight="1">
      <c r="A83" s="2" t="inlineStr">
        <is>
          <t>Semak senarai induk bahan mentah, sijil halal dan dokumen pembekal, kemudian padankan dengan bahan sebenar di kawasan penerimaan dan stor bahan mentah.</t>
        </is>
      </c>
    </row>
    <row r="84">
      <c r="A84" s="7" t="inlineStr">
        <is>
          <t>D1</t>
        </is>
      </c>
      <c r="B84" s="7" t="inlineStr">
        <is>
          <t>Senarai induk bahan mentah tersedia (dalam bentuk digital atau cetak) dan mudah disemak. Senarai ini mengandungi sekurang-kurangnya nama bahan, nama saintifik/kod/nama dagangan, sumber bahan, nama dan alamat pengeluar, status pengisytiharan kepada pihak berkuasa, maklumat sijil halal (badan pensijilan dan tarikh tamat), dokumen sokongan bagi bahan tanpa sijil, dan catatan.</t>
        </is>
      </c>
      <c r="C84" s="7" t="inlineStr">
        <is>
          <t>MHMS 5(7) (Kawalan Bahan Mentah)</t>
        </is>
      </c>
      <c r="D84" s="7" t="inlineStr"/>
      <c r="E84" s="7" t="inlineStr"/>
      <c r="F84" t="inlineStr">
        <is>
          <t>D</t>
        </is>
      </c>
    </row>
    <row r="85">
      <c r="A85" s="7" t="inlineStr">
        <is>
          <t>D2</t>
        </is>
      </c>
      <c r="B85" s="7" t="inlineStr">
        <is>
          <t>Senarai induk merangkumi semua bahan, termasuk bahan bantu pemprosesan, bahan kimia proses, pelincir yang mungkin bersentuhan dengan produk, bahan pembungkusan dan bahan pencuci, dan senarai ini sentiasa dikemas kini.</t>
        </is>
      </c>
      <c r="C85" s="7" t="inlineStr">
        <is>
          <t>MHMS 5(7) (Kawalan Bahan Mentah); MS 2738 kl. 4.2*</t>
        </is>
      </c>
      <c r="D85" s="7" t="inlineStr"/>
      <c r="E85" s="7" t="inlineStr"/>
      <c r="F85" t="inlineStr">
        <is>
          <t>D</t>
        </is>
      </c>
    </row>
    <row r="86">
      <c r="A86" s="7" t="inlineStr">
        <is>
          <t>D3</t>
        </is>
      </c>
      <c r="B86" s="7" t="inlineStr">
        <is>
          <t>Bahan kritikal ditanda dalam senarai induk (cth. bahan bersumberkan haiwan, lemak dan terbitannya, gelatin, enzim, etanol, karbon teraktif) dan dikawal sebagai titik kawalan halal semasa pembelian dan penerimaan.</t>
        </is>
      </c>
      <c r="C86" s="7" t="inlineStr">
        <is>
          <t>MHMS 5(6) (Kawalan Risiko Halal), 5(7) (Kawalan Bahan Mentah)</t>
        </is>
      </c>
      <c r="D86" s="7" t="inlineStr"/>
      <c r="E86" s="7" t="inlineStr"/>
      <c r="F86" t="inlineStr">
        <is>
          <t>D</t>
        </is>
      </c>
    </row>
    <row r="87">
      <c r="A87" s="7" t="inlineStr">
        <is>
          <t>D4</t>
        </is>
      </c>
      <c r="B87" s="7" t="inlineStr">
        <is>
          <t>Semua bahan diisytiharkan dalam MYeHALAL dengan butiran yang sama seperti pada label dan dokumen pembekal.</t>
        </is>
      </c>
      <c r="C87" s="7" t="inlineStr">
        <is>
          <t>MPPHM 17(1)(g)</t>
        </is>
      </c>
      <c r="D87" s="7" t="inlineStr"/>
      <c r="E87" s="7" t="inlineStr"/>
      <c r="F87" t="inlineStr">
        <is>
          <t>D</t>
        </is>
      </c>
    </row>
    <row r="88">
      <c r="A88" s="7" t="inlineStr">
        <is>
          <t>D5</t>
        </is>
      </c>
      <c r="B88" s="7" t="inlineStr">
        <is>
          <t>Pembekal dan bahan baharu dinilai (cth. melalui borang soal selidik bahan, spesifikasi, atau kenyataan sumber haiwan atau tumbuhan) dan diluluskan sebelum dibeli.</t>
        </is>
      </c>
      <c r="C88" s="7" t="inlineStr">
        <is>
          <t>MHMS 5(7) (Kawalan Bahan Mentah); MPPHM 17(1)(d)</t>
        </is>
      </c>
      <c r="D88" s="7" t="inlineStr"/>
      <c r="E88" s="7" t="inlineStr"/>
      <c r="F88" t="inlineStr">
        <is>
          <t>D</t>
        </is>
      </c>
    </row>
    <row r="89">
      <c r="A89" s="7" t="inlineStr">
        <is>
          <t>D6</t>
        </is>
      </c>
      <c r="B89" s="7" t="inlineStr">
        <is>
          <t>Prosedur pembelian, penerimaan dan penyimpanan bahan dilaksanakan. Semasa penerimaan, label, nama pengeluar, nombor lot, keadaan bahan, dan logo atau sijil halal diperiksa (kesahihan logo atau sijil disemak, cth. melalui direktori halal JAKIM), dan rekodnya boleh disemak.</t>
        </is>
      </c>
      <c r="C89" s="7" t="inlineStr">
        <is>
          <t>MHMS 5(7) (Kawalan Bahan Mentah); MS 2738 kl. 4.2*</t>
        </is>
      </c>
      <c r="D89" s="7" t="inlineStr"/>
      <c r="E89" s="7" t="inlineStr"/>
      <c r="F89" t="inlineStr">
        <is>
          <t>D</t>
        </is>
      </c>
    </row>
    <row r="90">
      <c r="A90" s="7" t="inlineStr">
        <is>
          <t>D7</t>
        </is>
      </c>
      <c r="B90" s="7" t="inlineStr">
        <is>
          <t>Label, spesifikasi dan SDS bahan disemak untuk mengesan istilah yang menunjukkan sumber haiwan (cth. 'tallow', 'lard', 'porcine', 'bovine', 'gelatin', 'collagen', 'bone', 'bristle'), dan sumber bahan sedemikian disahkan sebelum bahan diterima.</t>
        </is>
      </c>
      <c r="C90" s="7" t="inlineStr">
        <is>
          <t>MHMS 5(7) (Kawalan Bahan Mentah); MPPHM 17(1)(a)</t>
        </is>
      </c>
      <c r="D90" s="7" t="inlineStr"/>
      <c r="E90" s="7" t="inlineStr"/>
      <c r="F90" t="inlineStr">
        <is>
          <t>D</t>
        </is>
      </c>
    </row>
    <row r="91">
      <c r="A91" s="7" t="inlineStr">
        <is>
          <t>D8</t>
        </is>
      </c>
      <c r="B91" s="7" t="inlineStr">
        <is>
          <t>Bahan sebenar di kawasan penerimaan, stor dan pengeluaran sepadan dengan senarai induk dan MYeHALAL, tanpa sebarang bahan yang tidak diisytiharkan.</t>
        </is>
      </c>
      <c r="C91" s="7" t="inlineStr">
        <is>
          <t>MPPHM 17(1)(g); MHMS 5(7) (Kawalan Bahan Mentah)</t>
        </is>
      </c>
      <c r="D91" s="7" t="inlineStr"/>
      <c r="E91" s="7" t="inlineStr"/>
      <c r="F91" t="inlineStr">
        <is>
          <t>D</t>
        </is>
      </c>
    </row>
    <row r="92">
      <c r="A92" s="7" t="inlineStr">
        <is>
          <t>D9</t>
        </is>
      </c>
      <c r="B92" s="7" t="inlineStr">
        <is>
          <t>Tiada bahan yang diragui status halalnya (syubhah) digunakan atau disimpan di premis.</t>
        </is>
      </c>
      <c r="C92" s="7" t="inlineStr">
        <is>
          <t>MHMS 5(7) (Kawalan Bahan Mentah)</t>
        </is>
      </c>
      <c r="D92" s="7" t="inlineStr"/>
      <c r="E92" s="7" t="inlineStr"/>
      <c r="F92" t="inlineStr">
        <is>
          <t>D</t>
        </is>
      </c>
    </row>
    <row r="93">
      <c r="A93" s="7" t="inlineStr">
        <is>
          <t>D10</t>
        </is>
      </c>
      <c r="B93" s="7" t="inlineStr">
        <is>
          <t>Setiap bahan halal, selamat dan tidak tercemar.</t>
        </is>
      </c>
      <c r="C93" s="7" t="inlineStr">
        <is>
          <t>MPPHM 17(1)(a); MS 2738 kl. 4.2*</t>
        </is>
      </c>
      <c r="D93" s="7" t="inlineStr"/>
      <c r="E93" s="7" t="inlineStr"/>
      <c r="F93" t="inlineStr">
        <is>
          <t>D</t>
        </is>
      </c>
    </row>
    <row r="94">
      <c r="A94" s="7" t="inlineStr">
        <is>
          <t>D11</t>
        </is>
      </c>
      <c r="B94" s="7" t="inlineStr">
        <is>
          <t>Bahan bersumberkan haiwan atau hasilan haiwan mempunyai sijil halal yang sah daripada pihak berkuasa berwibawa. Bagi bahan import, sijil daripada badan pensijilan halal luar negara yang diiktiraf JAKIM diterima.</t>
        </is>
      </c>
      <c r="C94" s="7" t="inlineStr">
        <is>
          <t>MPPHM 17(1)(b); Perintah Perakuan &amp; Penandaan Halal 2011 perenggan 5</t>
        </is>
      </c>
      <c r="D94" s="7" t="inlineStr"/>
      <c r="E94" s="7" t="inlineStr"/>
      <c r="F94" t="inlineStr">
        <is>
          <t>D</t>
        </is>
      </c>
    </row>
    <row r="95">
      <c r="A95" s="7" t="inlineStr">
        <is>
          <t>D12</t>
        </is>
      </c>
      <c r="B95" s="7" t="inlineStr">
        <is>
          <t>Bahan haiwan atau hasilan haiwan yang diimport (cth. kulit, gelatin, tulang, lemak) diperoleh daripada rumah sembelihan atau loji pemprosesan yang diluluskan JPV.</t>
        </is>
      </c>
      <c r="C95" s="7" t="inlineStr">
        <is>
          <t>MPPHM 17(1)(c)</t>
        </is>
      </c>
      <c r="D95" s="7" t="inlineStr"/>
      <c r="E95" s="7" t="inlineStr"/>
      <c r="F95" t="inlineStr">
        <is>
          <t>D</t>
        </is>
      </c>
    </row>
    <row r="96">
      <c r="A96" s="7" t="inlineStr">
        <is>
          <t>D13</t>
        </is>
      </c>
      <c r="B96" s="7" t="inlineStr">
        <is>
          <t>Tarikh tamat sijil halal setiap bahan dipantau, dan sijil yang telah diperbaharui diperoleh sebelum penghantaran bahan yang seterusnya diterima.</t>
        </is>
      </c>
      <c r="C96" s="7" t="inlineStr">
        <is>
          <t>MHMS 5(7) (Kawalan Bahan Mentah); MPPHM 17(1)(b)</t>
        </is>
      </c>
      <c r="D96" s="7" t="inlineStr"/>
      <c r="E96" s="7" t="inlineStr"/>
      <c r="F96" t="inlineStr">
        <is>
          <t>D</t>
        </is>
      </c>
    </row>
    <row r="97">
      <c r="A97" s="7" t="inlineStr">
        <is>
          <t>D14</t>
        </is>
      </c>
      <c r="B97" s="7" t="inlineStr">
        <is>
          <t>Bahan tanpa sijil halal mempunyai dokumen sokongan yang lengkap, iaitu komposisi, carta alir proses dan sumber setiap komponen, termasuk pembawa, pelarut dan bahan tambahan dalam bahan kimia.</t>
        </is>
      </c>
      <c r="C97" s="7" t="inlineStr">
        <is>
          <t>MPPHM 17(1)(d)</t>
        </is>
      </c>
      <c r="D97" s="7" t="inlineStr"/>
      <c r="E97" s="7" t="inlineStr"/>
      <c r="F97" t="inlineStr">
        <is>
          <t>D</t>
        </is>
      </c>
    </row>
    <row r="98">
      <c r="A98" s="7" t="inlineStr">
        <is>
          <t>D15</t>
        </is>
      </c>
      <c r="B98" s="7" t="inlineStr">
        <is>
          <t>Bahan kimia berbahaya mempunyai Helaian Data Keselamatan (SDS), dan komposisi dalam SDS selaras dengan perisytiharan bahan. SDS sahaja tidak diterima sebagai bukti status halal, jadi sumber haiwan atau tumbuhan setiap komponen disahkan melalui sijil halal atau dokumen pengeluar.</t>
        </is>
      </c>
      <c r="C98" s="7" t="inlineStr">
        <is>
          <t>MPPHM 17(1)(d), 17(1)(i); Peraturan CLASS 2013</t>
        </is>
      </c>
      <c r="D98" s="7" t="inlineStr"/>
      <c r="E98" s="7" t="inlineStr"/>
      <c r="F98" t="inlineStr">
        <is>
          <t>D</t>
        </is>
      </c>
    </row>
    <row r="99">
      <c r="A99" s="7" t="inlineStr">
        <is>
          <t>D16</t>
        </is>
      </c>
      <c r="B99" s="7" t="inlineStr">
        <is>
          <t>Pengeluar asal setiap bahan dapat dikenal pasti, termasuk bahan yang dibeli melalui pengedar atau pedagang.</t>
        </is>
      </c>
      <c r="C99" s="7" t="inlineStr">
        <is>
          <t>MPPHM 17(1)(e)</t>
        </is>
      </c>
      <c r="D99" s="7" t="inlineStr"/>
      <c r="E99" s="7" t="inlineStr"/>
      <c r="F99" t="inlineStr">
        <is>
          <t>D</t>
        </is>
      </c>
    </row>
    <row r="100">
      <c r="A100" s="7" t="inlineStr">
        <is>
          <t>D17</t>
        </is>
      </c>
      <c r="B100" s="7" t="inlineStr">
        <is>
          <t>Bahan yang telah melalui pemprosesan kedua oleh pihak ketiga (cth. pra-campuran kimia, pemotongan atau pembahagian kulit, pembungkusan semula) mempunyai sijil halal yang sah.</t>
        </is>
      </c>
      <c r="C100" s="7" t="inlineStr">
        <is>
          <t>MPPHM 17(1)(f)</t>
        </is>
      </c>
      <c r="D100" s="7" t="inlineStr"/>
      <c r="E100" s="7" t="inlineStr"/>
      <c r="F100" t="inlineStr">
        <is>
          <t>D</t>
        </is>
      </c>
    </row>
    <row r="101">
      <c r="A101" s="7" t="inlineStr">
        <is>
          <t>D18</t>
        </is>
      </c>
      <c r="B101" s="7" t="inlineStr">
        <is>
          <t>Semua bahan mempunyai label yang jelas, terang dan mudah difahami, yang menyatakan nama bahan dan pengeluarnya.</t>
        </is>
      </c>
      <c r="C101" s="7" t="inlineStr">
        <is>
          <t>MPPHM 17(1)(h)</t>
        </is>
      </c>
      <c r="D101" s="7" t="inlineStr"/>
      <c r="E101" s="7" t="inlineStr"/>
      <c r="F101" t="inlineStr">
        <is>
          <t>D</t>
        </is>
      </c>
    </row>
    <row r="102">
      <c r="A102" s="7" t="inlineStr">
        <is>
          <t>D19</t>
        </is>
      </c>
      <c r="B102" s="7" t="inlineStr">
        <is>
          <t>Bahan kitar semula (cth. resin plastik kitar semula, serat kulit kitar semula untuk 'bonded leather', kertas terpakai) hanya digunakan jika sumber dan komposisinya diketahui dan telah diisytiharkan.</t>
        </is>
      </c>
      <c r="C102" s="7" t="inlineStr">
        <is>
          <t>MPPHM 17(1)(d), 17(1)(e); MS 2738 kl. 4.2*</t>
        </is>
      </c>
      <c r="D102" s="7" t="inlineStr"/>
      <c r="E102" s="7" t="inlineStr"/>
      <c r="F102" t="inlineStr">
        <is>
          <t>D</t>
        </is>
      </c>
    </row>
    <row r="103">
      <c r="A103" s="7" t="inlineStr">
        <is>
          <t>D20</t>
        </is>
      </c>
      <c r="B103" s="7" t="inlineStr">
        <is>
          <t>Tiada bahan yang mengandungi bahagian anggota manusia atau hasilannya (cth. rambut manusia), dan tiada bahan yang beracun atau memudaratkan kesihatan.</t>
        </is>
      </c>
      <c r="C103" s="7" t="inlineStr">
        <is>
          <t>Perintah Takrif Halal 2011 perenggan 3(1)(d), 3(1)(e); MS 2738 kl. 4.2*</t>
        </is>
      </c>
      <c r="D103" s="7" t="inlineStr"/>
      <c r="E103" s="7" t="inlineStr"/>
      <c r="F103" t="inlineStr">
        <is>
          <t>D</t>
        </is>
      </c>
    </row>
    <row r="104">
      <c r="A104" s="7" t="inlineStr">
        <is>
          <t>D21</t>
        </is>
      </c>
      <c r="B104" s="7" t="inlineStr">
        <is>
          <t>Air proses (cth. untuk detergen cecair, penyamakan atau bilasan produk) diperoleh daripada bekalan awam. Jika sumber lain digunakan (cth. telaga), laporan analisis kualiti air tersedia.</t>
        </is>
      </c>
      <c r="C104" s="7" t="inlineStr">
        <is>
          <t>MPPHM 17(1)(j)</t>
        </is>
      </c>
      <c r="D104" s="7" t="inlineStr"/>
      <c r="E104" s="7" t="inlineStr"/>
      <c r="F104" t="inlineStr">
        <is>
          <t>D</t>
        </is>
      </c>
    </row>
    <row r="105">
      <c r="A105" s="4" t="inlineStr">
        <is>
          <t>Bahagian E: Bahan Bersumberkan Haiwan: Kulit, Tulang &amp; Bulu</t>
        </is>
      </c>
      <c r="B105" s="5" t="n"/>
      <c r="C105" s="5" t="n"/>
      <c r="D105" s="5" t="n"/>
      <c r="E105" s="6" t="n"/>
    </row>
    <row r="106" ht="26" customHeight="1">
      <c r="A106" s="2" t="inlineStr">
        <is>
          <t>Bagi produk yang menggunakan kulit, tulang, bulu atau hasilannya, semak spesies sumber, status sembelihan, proses dibagh dan dokumen sokongan, kemudian periksa bahan dan produk di stor dan di talian pengeluaran.</t>
        </is>
      </c>
    </row>
    <row r="107">
      <c r="A107" s="7" t="inlineStr">
        <is>
          <t>E1</t>
        </is>
      </c>
      <c r="B107" s="7" t="inlineStr">
        <is>
          <t>Tiada bahan, komponen atau produk daripada babi, anjing atau keturunannya di premis (cth. kulit babi, 'pig suede', 'pig split', bulu babi 'boar' atau 'hog bristle', tulang atau gelatin babi). Syarikat tidak mengeluarkan, menyimpan atau menjual barang sedemikian, iaitu barang yang apabila dijual wajib dipamerkan berasingan dan dilabel 'Diperbuat Daripada Babi' atau 'Diperbuat Daripada Anjing'.</t>
        </is>
      </c>
      <c r="C107" s="7" t="inlineStr">
        <is>
          <t>MS 2803; Perintah Takrif Halal 2011 perenggan 3(1)(a); Perintah Barang Babi/Anjing 2013 perenggan 4; MPPHM 6(1)</t>
        </is>
      </c>
      <c r="D107" s="7" t="inlineStr"/>
      <c r="E107" s="7" t="inlineStr"/>
      <c r="F107" t="inlineStr">
        <is>
          <t>E</t>
        </is>
      </c>
    </row>
    <row r="108">
      <c r="A108" s="7" t="inlineStr">
        <is>
          <t>E2</t>
        </is>
      </c>
      <c r="B108" s="7" t="inlineStr">
        <is>
          <t>Spesies sumber setiap bahan kulit, tulang dan bulu serta hasilannya (cth. gelatin, kolagen, gam haiwan, arang tulang, dikalsium fosfat) dinyatakan dalam spesifikasi pembekal, sijil dan dokumen import, dan sepadan dengan bahan yang diterima.</t>
        </is>
      </c>
      <c r="C108" s="7" t="inlineStr">
        <is>
          <t>MS 2803; MHMS 5(7) (Kawalan Bahan Mentah)</t>
        </is>
      </c>
      <c r="D108" s="7" t="inlineStr"/>
      <c r="E108" s="7" t="inlineStr"/>
      <c r="F108" t="inlineStr">
        <is>
          <t>E</t>
        </is>
      </c>
    </row>
    <row r="109">
      <c r="A109" s="7" t="inlineStr">
        <is>
          <t>E3</t>
        </is>
      </c>
      <c r="B109" s="7" t="inlineStr">
        <is>
          <t>Status sembelihan setiap bahan dikenal pasti. Kulit, tulang, bulu dan hasilannya yang diisytiharkan berasal daripada haiwan halal yang disembelih menurut Hukum Syarak disokong oleh sijil halal atau sijil sembelihan yang sah. Tulang dan hasilan tulang hanya berasal daripada haiwan halal yang disembelih menurut Hukum Syarak (atau daripada ikan).</t>
        </is>
      </c>
      <c r="C109" s="7" t="inlineStr">
        <is>
          <t>MS 2803; MPPHM 17(1)(b), 17(1)(c); Perintah Takrif Halal 2011 perenggan 3(1)(a)</t>
        </is>
      </c>
      <c r="D109" s="7" t="inlineStr"/>
      <c r="E109" s="7" t="inlineStr"/>
      <c r="F109" t="inlineStr">
        <is>
          <t>E</t>
        </is>
      </c>
    </row>
    <row r="110">
      <c r="A110" s="7" t="inlineStr">
        <is>
          <t>E4</t>
        </is>
      </c>
      <c r="B110" s="7" t="inlineStr">
        <is>
          <t>Barang kulit: kulit yang bukan daripada haiwan halal yang disembelih menurut Hukum Syarak (cth. kulit bangkai, atau kulit haiwan yang tidak halal dimakan selain anjing dan babi) hanya digunakan selepas melalui proses dibagh (samak) yang lengkap. Penggunaan kulit itu dalam produk yang dipohon juga telah dirujuk kepada dan diterima oleh pihak berkuasa, kerana Perintah Takrif Halal 2011 perenggan 3(1)(a) mensyaratkan barang halal tidak mengandungi bahagian haiwan yang tidak disembelih menurut Hukum Syarak.</t>
        </is>
      </c>
      <c r="C110" s="7" t="inlineStr">
        <is>
          <t>MS 2803; MS 2200-2 Lampiran A*; Perintah Takrif Halal 2011 perenggan 3(1)(a); MPPHM 18(5)(a)(iv)</t>
        </is>
      </c>
      <c r="D110" s="7" t="inlineStr"/>
      <c r="E110" s="7" t="inlineStr"/>
      <c r="F110" t="inlineStr">
        <is>
          <t>E</t>
        </is>
      </c>
    </row>
    <row r="111">
      <c r="A111" s="7" t="inlineStr">
        <is>
          <t>E5</t>
        </is>
      </c>
      <c r="B111" s="7" t="inlineStr">
        <is>
          <t>Barang kulit: proses dibagh didokumenkan dan dipatuhi. Lendir, sisa daging, lemak dan darah dibuang, agen penyamak yang sesuai digunakan, dan kulit dibasuh dengan air mutlak selepas disamak. Rekod bagi setiap kelompok disimpan.</t>
        </is>
      </c>
      <c r="C111" s="7" t="inlineStr">
        <is>
          <t>MS 2200-2 Lampiran A*; MS 2803</t>
        </is>
      </c>
      <c r="D111" s="7" t="inlineStr"/>
      <c r="E111" s="7" t="inlineStr"/>
      <c r="F111" t="inlineStr">
        <is>
          <t>E</t>
        </is>
      </c>
    </row>
    <row r="112">
      <c r="A112" s="7" t="inlineStr">
        <is>
          <t>E6</t>
        </is>
      </c>
      <c r="B112" s="7" t="inlineStr">
        <is>
          <t>Barang kulit: bulu yang melekat pada kulit bangkai dibuang kerana bulu itu tidak menjadi suci melalui dibagh. Produk yang mengekalkan bulu (cth. kulit biri-biri berbulu, kulit 'hair-on') hanya menggunakan kulit haiwan halal yang disembelih menurut Hukum Syarak.</t>
        </is>
      </c>
      <c r="C112" s="7" t="inlineStr">
        <is>
          <t>MS 2803; MS 2200-2 Lampiran A*</t>
        </is>
      </c>
      <c r="D112" s="7" t="inlineStr"/>
      <c r="E112" s="7" t="inlineStr"/>
      <c r="F112" t="inlineStr">
        <is>
          <t>E</t>
        </is>
      </c>
    </row>
    <row r="113">
      <c r="A113" s="7" t="inlineStr">
        <is>
          <t>E7</t>
        </is>
      </c>
      <c r="B113" s="7" t="inlineStr">
        <is>
          <t>Barang kulit: sumber bahan kimia penyamakan dan kemasan disahkan, iaitu agen 'bating' (enzim, termasuk enzim daripada pankreas haiwan), minyak 'fatliquor' (cth. lemak haiwan, minyak ikan), bahan kemasan (cth. kasein, albumin) dan gam.</t>
        </is>
      </c>
      <c r="C113" s="7" t="inlineStr">
        <is>
          <t>MS 2738 kl. 4.2*; MS 2803; MPPHM 17(1)(b), 17(1)(d)</t>
        </is>
      </c>
      <c r="D113" s="7" t="inlineStr"/>
      <c r="E113" s="7" t="inlineStr"/>
      <c r="F113" t="inlineStr">
        <is>
          <t>E</t>
        </is>
      </c>
    </row>
    <row r="114">
      <c r="A114" s="7" t="inlineStr">
        <is>
          <t>E8</t>
        </is>
      </c>
      <c r="B114" s="7" t="inlineStr">
        <is>
          <t>Barang kulit (termasuk kasut, beg, tali pinggang dan sarung tangan kerja kulit): spesies dan sumber komponen tersembunyi, seperti lapik dalam, tapak dalam ('insole'), pengeras dan gam, turut disahkan.</t>
        </is>
      </c>
      <c r="C114" s="7" t="inlineStr">
        <is>
          <t>MS 2803; MPPHM 17(1)(d), 17(1)(e)</t>
        </is>
      </c>
      <c r="D114" s="7" t="inlineStr"/>
      <c r="E114" s="7" t="inlineStr"/>
      <c r="F114" t="inlineStr">
        <is>
          <t>E</t>
        </is>
      </c>
    </row>
    <row r="115">
      <c r="A115" s="7" t="inlineStr">
        <is>
          <t>E9</t>
        </is>
      </c>
      <c r="B115" s="7" t="inlineStr">
        <is>
          <t>Bagi kulit, berus atau bulu yang sumbernya diragui, ujian makmal untuk mengenal pasti kulit dan bulu babi dibuat di makmal yang diakreditasi ISO/IEC 17025 bagi skop ujian itu (atau di makmal yang ditetapkan pihak berkuasa), dan laporannya disimpan.</t>
        </is>
      </c>
      <c r="C115" s="7" t="inlineStr">
        <is>
          <t>MHMS 5(11) (Analisis Makmal); MS 2810; MPPHM Pindaan 55</t>
        </is>
      </c>
      <c r="D115" s="7" t="inlineStr"/>
      <c r="E115" s="7" t="inlineStr"/>
      <c r="F115" t="inlineStr">
        <is>
          <t>E</t>
        </is>
      </c>
    </row>
    <row r="116">
      <c r="A116" s="7" t="inlineStr">
        <is>
          <t>E10</t>
        </is>
      </c>
      <c r="B116" s="7" t="inlineStr">
        <is>
          <t>Berus dan kuas berbulu haiwan: spesies sumber bulu dan cara bulu itu diperoleh (dicukur daripada haiwan halal yang masih hidup, atau diambil daripada haiwan halal yang disembelih) didokumenkan, dan bulu babi tidak digunakan.</t>
        </is>
      </c>
      <c r="C116" s="7" t="inlineStr">
        <is>
          <t>MS 2803; MPPHM 17(5)(c)</t>
        </is>
      </c>
      <c r="D116" s="7" t="inlineStr"/>
      <c r="E116" s="7" t="inlineStr"/>
      <c r="F116" t="inlineStr">
        <is>
          <t>E</t>
        </is>
      </c>
    </row>
    <row r="117">
      <c r="A117" s="7" t="inlineStr">
        <is>
          <t>E11</t>
        </is>
      </c>
      <c r="B117" s="7" t="inlineStr">
        <is>
          <t>Produk berbulu (cth. bantal berisi bulu itik atau angsa, produk wul atau bulu kambing): bulu tidak berasal daripada bangkai atau haiwan najis mughallazah, dan sumbernya didokumenkan.</t>
        </is>
      </c>
      <c r="C117" s="7" t="inlineStr">
        <is>
          <t>MS 2803</t>
        </is>
      </c>
      <c r="D117" s="7" t="inlineStr"/>
      <c r="E117" s="7" t="inlineStr"/>
      <c r="F117" t="inlineStr">
        <is>
          <t>E</t>
        </is>
      </c>
    </row>
    <row r="118">
      <c r="A118" s="7" t="inlineStr">
        <is>
          <t>E12</t>
        </is>
      </c>
      <c r="B118" s="7" t="inlineStr">
        <is>
          <t>Pinggan mangkuk atau seramik bone china: abu tulang berasal daripada haiwan halal dimakan yang disembelih menurut Hukum Syarak dan disokong sijil halal. Abu tulang babi atau haiwan yang tidak disembelih menurut Hukum Syarak tidak digunakan.</t>
        </is>
      </c>
      <c r="C118" s="7" t="inlineStr">
        <is>
          <t>Fatwa Bone China 2012; MS 2803; MPPHM 17(5)(c)</t>
        </is>
      </c>
      <c r="D118" s="7" t="inlineStr"/>
      <c r="E118" s="7" t="inlineStr"/>
      <c r="F118" t="inlineStr">
        <is>
          <t>E</t>
        </is>
      </c>
    </row>
    <row r="119">
      <c r="A119" s="7" t="inlineStr">
        <is>
          <t>E13</t>
        </is>
      </c>
      <c r="B119" s="7" t="inlineStr">
        <is>
          <t>Tiada darah atau hasilan darah (cth. albumin darah dalam gam atau bahan kemasan) digunakan, kerana darah ialah najis.</t>
        </is>
      </c>
      <c r="C119" s="7" t="inlineStr">
        <is>
          <t>Perintah Takrif Halal 2011 perenggan 3(1)(b); MS 2738 kl. 4.2*</t>
        </is>
      </c>
      <c r="D119" s="7" t="inlineStr"/>
      <c r="E119" s="7" t="inlineStr"/>
      <c r="F119" t="inlineStr">
        <is>
          <t>E</t>
        </is>
      </c>
    </row>
    <row r="120">
      <c r="A120" s="4" t="inlineStr">
        <is>
          <t>Bahagian F: Bahan Kritikal mengikut Jenis Produk</t>
        </is>
      </c>
      <c r="B120" s="5" t="n"/>
      <c r="C120" s="5" t="n"/>
      <c r="D120" s="5" t="n"/>
      <c r="E120" s="6" t="n"/>
    </row>
    <row r="121" ht="26" customHeight="1">
      <c r="A121" s="2" t="inlineStr">
        <is>
          <t>Bagi setiap jenis produk yang dipohon, semak formulasi, spesifikasi dan dokumen sumber bahan kritikal yang disenaraikan, kemudian sahkan dengan bahan sebenar di stor dan di talian pengeluaran.</t>
        </is>
      </c>
    </row>
    <row r="122">
      <c r="A122" s="7" t="inlineStr">
        <is>
          <t>F1</t>
        </is>
      </c>
      <c r="B122" s="7" t="inlineStr">
        <is>
          <t>Sumber lemak, minyak dan terbitannya (cth. asid lemak, alkohol lemak, gliserin, ester, stearat, amida lemak) disahkan, sama ada daripada tumbuhan, sintetik, atau haiwan halal yang disembelih menurut Hukum Syarak dan bersijil halal. Lemak babi (lard) tidak digunakan.</t>
        </is>
      </c>
      <c r="C122" s="7" t="inlineStr">
        <is>
          <t>MPPHM 17(1)(b), 17(1)(d); MS 2738 kl. 4.2*</t>
        </is>
      </c>
      <c r="D122" s="7" t="inlineStr"/>
      <c r="E122" s="7" t="inlineStr"/>
      <c r="F122" t="inlineStr">
        <is>
          <t>F</t>
        </is>
      </c>
    </row>
    <row r="123">
      <c r="A123" s="7" t="inlineStr">
        <is>
          <t>F2</t>
        </is>
      </c>
      <c r="B123" s="7" t="inlineStr">
        <is>
          <t>Enzim (cth. protease, amilase, lipase) dan bahan hasil fermentasi: media fermentasi, penstabil dan pembawanya bebas daripada bahan babi dan najis, disokong sijil halal atau dokumen pengeluar.</t>
        </is>
      </c>
      <c r="C123" s="7" t="inlineStr">
        <is>
          <t>MPPHM 17(1)(b), 17(1)(d); MS 2738 kl. 4.2*</t>
        </is>
      </c>
      <c r="D123" s="7" t="inlineStr"/>
      <c r="E123" s="7" t="inlineStr"/>
      <c r="F123" t="inlineStr">
        <is>
          <t>F</t>
        </is>
      </c>
    </row>
    <row r="124">
      <c r="A124" s="7" t="inlineStr">
        <is>
          <t>F3</t>
        </is>
      </c>
      <c r="B124" s="7" t="inlineStr">
        <is>
          <t>Etanol yang digunakan sebagai pelarut (cth. dalam pewangi produk pencuci atau dalam pembersih kaca) tidak diperoleh melalui proses pembuatan arak, dan sumbernya didokumenkan.</t>
        </is>
      </c>
      <c r="C124" s="7" t="inlineStr">
        <is>
          <t>Fatwa Alkohol 2011; MS 2738 kl. 4.2*</t>
        </is>
      </c>
      <c r="D124" s="7" t="inlineStr"/>
      <c r="E124" s="7" t="inlineStr"/>
      <c r="F124" t="inlineStr">
        <is>
          <t>F</t>
        </is>
      </c>
    </row>
    <row r="125">
      <c r="A125" s="7" t="inlineStr">
        <is>
          <t>F4</t>
        </is>
      </c>
      <c r="B125" s="7" t="inlineStr">
        <is>
          <t>Bahan pencuci (cth. detergen, pencuci pinggan, pencuci lantai): formulasi setiap produk disenaraikan sepenuhnya, termasuk surfaktan, sabun asas (cth. 'soap noodle', natrium tallowat), pelembut fabrik, enzim, pewangi, pewarna dan pengawet, dan sumber setiap komponen dikenal pasti.</t>
        </is>
      </c>
      <c r="C125" s="7" t="inlineStr">
        <is>
          <t>MPPHM 17(1)(d), 17(2)(d); MS 2738 kl. 4.2*</t>
        </is>
      </c>
      <c r="D125" s="7" t="inlineStr"/>
      <c r="E125" s="7" t="inlineStr"/>
      <c r="F125" t="inlineStr">
        <is>
          <t>F</t>
        </is>
      </c>
    </row>
    <row r="126">
      <c r="A126" s="7" t="inlineStr">
        <is>
          <t>F5</t>
        </is>
      </c>
      <c r="B126" s="7" t="inlineStr">
        <is>
          <t>Penapis air: media penapis (cth. karbon teraktif) berasal daripada sumber tumbuhan atau mineral (cth. tempurung kelapa, arang batu). Karbon tulang (bone char) hanya diterima jika berasal daripada tulang haiwan halal yang disembelih menurut Hukum Syarak dan bersijil halal.</t>
        </is>
      </c>
      <c r="C126" s="7" t="inlineStr">
        <is>
          <t>MPPHM 18(5)(a)(i), 17(5)(c); MS 2803; MS 2738 kl. 4.2*</t>
        </is>
      </c>
      <c r="D126" s="7" t="inlineStr"/>
      <c r="E126" s="7" t="inlineStr"/>
      <c r="F126" t="inlineStr">
        <is>
          <t>F</t>
        </is>
      </c>
    </row>
    <row r="127">
      <c r="A127" s="7" t="inlineStr">
        <is>
          <t>F6</t>
        </is>
      </c>
      <c r="B127" s="7" t="inlineStr">
        <is>
          <t>Penapis air: bahan lain yang bersentuhan dengan air (resin penukar ion, membran, seramik, gam, gelang-O dan pelincirnya) mempunyai dokumen komposisi dan sumber.</t>
        </is>
      </c>
      <c r="C127" s="7" t="inlineStr">
        <is>
          <t>MPPHM 17(1)(d); MS 2738 kl. 4.2*</t>
        </is>
      </c>
      <c r="D127" s="7" t="inlineStr"/>
      <c r="E127" s="7" t="inlineStr"/>
      <c r="F127" t="inlineStr">
        <is>
          <t>F</t>
        </is>
      </c>
    </row>
    <row r="128">
      <c r="A128" s="7" t="inlineStr">
        <is>
          <t>F7</t>
        </is>
      </c>
      <c r="B128" s="7" t="inlineStr">
        <is>
          <t>Bahan kimia rawatan air minum (cth. tawas, PAC, kapur, klorin, polielektrolit, karbon teraktif): komposisi dan sumber setiap bahan, termasuk bahan pembantu dan pembawa, didokumenkan, dan bahan itu bebas daripada bahan haiwan yang tidak halal.</t>
        </is>
      </c>
      <c r="C128" s="7" t="inlineStr">
        <is>
          <t>MPPHM 18(5)(b); MS 2738 kl. 4.2*</t>
        </is>
      </c>
      <c r="D128" s="7" t="inlineStr"/>
      <c r="E128" s="7" t="inlineStr"/>
      <c r="F128" t="inlineStr">
        <is>
          <t>F</t>
        </is>
      </c>
    </row>
    <row r="129">
      <c r="A129" s="7" t="inlineStr">
        <is>
          <t>F8</t>
        </is>
      </c>
      <c r="B129" s="7" t="inlineStr">
        <is>
          <t>Sarung tangan (bukan perubatan): sumber serbuk (cth. kanji jagung), agen pelepas acuan (cth. kalsium stearat), pelincir dan emulsi lilin disahkan.</t>
        </is>
      </c>
      <c r="C129" s="7" t="inlineStr">
        <is>
          <t>MPPHM 17(1)(d); MS 2738 kl. 4.2*</t>
        </is>
      </c>
      <c r="D129" s="7" t="inlineStr"/>
      <c r="E129" s="7" t="inlineStr"/>
      <c r="F129" t="inlineStr">
        <is>
          <t>F</t>
        </is>
      </c>
    </row>
    <row r="130">
      <c r="A130" s="7" t="inlineStr">
        <is>
          <t>F9</t>
        </is>
      </c>
      <c r="B130" s="7" t="inlineStr">
        <is>
          <t>Sarung tangan (bukan perubatan): bahan kimia pemprosesan lateks atau nitril (koagulan, pemecut, antioksidan, bahan klorinasi atau salutan polimer) mempunyai dokumen komposisi dan sumber.</t>
        </is>
      </c>
      <c r="C130" s="7" t="inlineStr">
        <is>
          <t>MPPHM 17(1)(d); MS 2738 kl. 4.2*</t>
        </is>
      </c>
      <c r="D130" s="7" t="inlineStr"/>
      <c r="E130" s="7" t="inlineStr"/>
      <c r="F130" t="inlineStr">
        <is>
          <t>F</t>
        </is>
      </c>
    </row>
    <row r="131">
      <c r="A131" s="7" t="inlineStr">
        <is>
          <t>F10</t>
        </is>
      </c>
      <c r="B131" s="7" t="inlineStr">
        <is>
          <t>Bahan pembungkusan plastik: sumber aditif disahkan, termasuk agen gelincir (cth. erucamide, oleamide), agen antistatik (cth. gliserol monostearat), penstabil dan pelincir (cth. stearat).</t>
        </is>
      </c>
      <c r="C131" s="7" t="inlineStr">
        <is>
          <t>MPPHM 17(6)(a); MS 2738 kl. 4.2*, 4.5*</t>
        </is>
      </c>
      <c r="D131" s="7" t="inlineStr"/>
      <c r="E131" s="7" t="inlineStr"/>
      <c r="F131" t="inlineStr">
        <is>
          <t>F</t>
        </is>
      </c>
    </row>
    <row r="132">
      <c r="A132" s="7" t="inlineStr">
        <is>
          <t>F11</t>
        </is>
      </c>
      <c r="B132" s="7" t="inlineStr">
        <is>
          <t>Bahan pembungkusan kertas dan kadbod: sumber agen saiz dan salutan (cth. gelatin, kasein, kanji, lilin) disahkan.</t>
        </is>
      </c>
      <c r="C132" s="7" t="inlineStr">
        <is>
          <t>MPPHM 17(6)(a); MS 2738 kl. 4.2*, 4.5*</t>
        </is>
      </c>
      <c r="D132" s="7" t="inlineStr"/>
      <c r="E132" s="7" t="inlineStr"/>
      <c r="F132" t="inlineStr">
        <is>
          <t>F</t>
        </is>
      </c>
    </row>
    <row r="133">
      <c r="A133" s="7" t="inlineStr">
        <is>
          <t>F12</t>
        </is>
      </c>
      <c r="B133" s="7" t="inlineStr">
        <is>
          <t>Bahan pembungkusan: komposisi dakwat, varnis, lakuer dan salutan (termasuk salutan dalaman tin) disahkan, dan pigmen hitam tulang ('bone black') atau bahan haiwan yang tidak halal tidak digunakan.</t>
        </is>
      </c>
      <c r="C133" s="7" t="inlineStr">
        <is>
          <t>MPPHM 17(6)(a); MS 2738 kl. 4.2*, 4.5*</t>
        </is>
      </c>
      <c r="D133" s="7" t="inlineStr"/>
      <c r="E133" s="7" t="inlineStr"/>
      <c r="F133" t="inlineStr">
        <is>
          <t>F</t>
        </is>
      </c>
    </row>
    <row r="134">
      <c r="A134" s="7" t="inlineStr">
        <is>
          <t>F13</t>
        </is>
      </c>
      <c r="B134" s="7" t="inlineStr">
        <is>
          <t>Bahan pembungkusan: sumber pelekat dan gam (untuk laminasi, label dan kotak) disahkan (cth. gam haiwan, kasein, kanji atau resin sintetik).</t>
        </is>
      </c>
      <c r="C134" s="7" t="inlineStr">
        <is>
          <t>MPPHM 17(6)(a); MS 2738 kl. 4.2*, 4.5*</t>
        </is>
      </c>
      <c r="D134" s="7" t="inlineStr"/>
      <c r="E134" s="7" t="inlineStr"/>
      <c r="F134" t="inlineStr">
        <is>
          <t>F</t>
        </is>
      </c>
    </row>
    <row r="135">
      <c r="A135" s="7" t="inlineStr">
        <is>
          <t>F14</t>
        </is>
      </c>
      <c r="B135" s="7" t="inlineStr">
        <is>
          <t>Bahan pembungkusan logam (tin, aluminium): sumber minyak atau pelincir untuk pembentukan dan penarikan logam disahkan.</t>
        </is>
      </c>
      <c r="C135" s="7" t="inlineStr">
        <is>
          <t>MPPHM 17(1)(d); MS 2738 kl. 4.2*</t>
        </is>
      </c>
      <c r="D135" s="7" t="inlineStr"/>
      <c r="E135" s="7" t="inlineStr"/>
      <c r="F135" t="inlineStr">
        <is>
          <t>F</t>
        </is>
      </c>
    </row>
    <row r="136">
      <c r="A136" s="7" t="inlineStr">
        <is>
          <t>F15</t>
        </is>
      </c>
      <c r="B136" s="7" t="inlineStr">
        <is>
          <t>Bahan pembungkusan untuk sentuhan makanan: bahan itu sesuai untuk sentuhan makanan dan tidak memindahkan bahan toksik, bahan pencemar atau najis kepada makanan. Ini disokong oleh laporan ujian (cth. ujian migrasi) atau perakuan pematuhan.</t>
        </is>
      </c>
      <c r="C136" s="7" t="inlineStr">
        <is>
          <t>MPPHM 17(6)(a); MS 2738 kl. 4.5*; PM 1985 per. 27</t>
        </is>
      </c>
      <c r="D136" s="7" t="inlineStr"/>
      <c r="E136" s="7" t="inlineStr"/>
      <c r="F136" t="inlineStr">
        <is>
          <t>F</t>
        </is>
      </c>
    </row>
    <row r="137">
      <c r="A137" s="7" t="inlineStr">
        <is>
          <t>F16</t>
        </is>
      </c>
      <c r="B137" s="7" t="inlineStr">
        <is>
          <t>Bleaching earth: komposisi (cth. bentonit teraktif asid, campuran karbon teraktif) dan sumber setiap komponen didokumenkan, dan tiada karbon tulang daripada sumber yang tidak halal digunakan.</t>
        </is>
      </c>
      <c r="C137" s="7" t="inlineStr">
        <is>
          <t>MPPHM 18(5)(a)(ii); MS 2738 kl. 4.2*</t>
        </is>
      </c>
      <c r="D137" s="7" t="inlineStr"/>
      <c r="E137" s="7" t="inlineStr"/>
      <c r="F137" t="inlineStr">
        <is>
          <t>F</t>
        </is>
      </c>
    </row>
    <row r="138">
      <c r="A138" s="7" t="inlineStr">
        <is>
          <t>F17</t>
        </is>
      </c>
      <c r="B138" s="7" t="inlineStr">
        <is>
          <t>Tawas dan bahan bantu pemprosesan mineral lain: gred, sumber mineral dan bahan tambahan (cth. agen anti-gumpal) didokumenkan.</t>
        </is>
      </c>
      <c r="C138" s="7" t="inlineStr">
        <is>
          <t>MPPHM 18(5)(a)(ii); MS 2738 kl. 4.2*</t>
        </is>
      </c>
      <c r="D138" s="7" t="inlineStr"/>
      <c r="E138" s="7" t="inlineStr"/>
      <c r="F138" t="inlineStr">
        <is>
          <t>F</t>
        </is>
      </c>
    </row>
    <row r="139">
      <c r="A139" s="7" t="inlineStr">
        <is>
          <t>F18</t>
        </is>
      </c>
      <c r="B139" s="7" t="inlineStr">
        <is>
          <t>Gas (cth. CO2, nitrogen, oksigen): sumber dan kaedah pengeluaran didokumenkan (cth. pemisahan udara, atau perolehan semula daripada proses kimia atau penapaian), dan status halal sumber yang diragui telah dirujuk kepada pihak berkuasa.</t>
        </is>
      </c>
      <c r="C139" s="7" t="inlineStr">
        <is>
          <t>MPPHM 18(5)(a)(ii), 17(1)(d); MS 2738 kl. 4.2*</t>
        </is>
      </c>
      <c r="D139" s="7" t="inlineStr"/>
      <c r="E139" s="7" t="inlineStr"/>
      <c r="F139" t="inlineStr">
        <is>
          <t>F</t>
        </is>
      </c>
    </row>
    <row r="140">
      <c r="A140" s="4" t="inlineStr">
        <is>
          <t>Bahagian G: Pemprosesan &amp; Pengilangan</t>
        </is>
      </c>
      <c r="B140" s="5" t="n"/>
      <c r="C140" s="5" t="n"/>
      <c r="D140" s="5" t="n"/>
      <c r="E140" s="6" t="n"/>
    </row>
    <row r="141" ht="26" customHeight="1">
      <c r="A141" s="2" t="inlineStr">
        <is>
          <t>Perhatikan aliran pengeluaran dari penimbangan bahan hingga pembungkusan, dan bandingkan dengan carta alir, formulasi dan rekod pengeluaran.</t>
        </is>
      </c>
    </row>
    <row r="142">
      <c r="A142" s="7" t="inlineStr">
        <is>
          <t>G1</t>
        </is>
      </c>
      <c r="B142" s="7" t="inlineStr">
        <is>
          <t>Semua aktiviti pemprosesan memenuhi Hukum Syarak.</t>
        </is>
      </c>
      <c r="C142" s="7" t="inlineStr">
        <is>
          <t>MPPHM 17(3)(a); MS 2738 kl. 4.4*</t>
        </is>
      </c>
      <c r="D142" s="7" t="inlineStr"/>
      <c r="E142" s="7" t="inlineStr"/>
      <c r="F142" t="inlineStr">
        <is>
          <t>G</t>
        </is>
      </c>
    </row>
    <row r="143">
      <c r="A143" s="7" t="inlineStr">
        <is>
          <t>G2</t>
        </is>
      </c>
      <c r="B143" s="7" t="inlineStr">
        <is>
          <t>Kawasan pemprosesan bebas daripada bahan atau produk tidak halal.</t>
        </is>
      </c>
      <c r="C143" s="7" t="inlineStr">
        <is>
          <t>MPPHM 17(3)(b)</t>
        </is>
      </c>
      <c r="D143" s="7" t="inlineStr"/>
      <c r="E143" s="7" t="inlineStr"/>
      <c r="F143" t="inlineStr">
        <is>
          <t>G</t>
        </is>
      </c>
    </row>
    <row r="144">
      <c r="A144" s="7" t="inlineStr">
        <is>
          <t>G3</t>
        </is>
      </c>
      <c r="B144" s="7" t="inlineStr">
        <is>
          <t>Talian dan kawasan pemprosesan tidak digunakan untuk tujuan lain (cth. kerja untuk pelanggan lain, sampel atau projek R&amp;D) tanpa kawalan halal.</t>
        </is>
      </c>
      <c r="C144" s="7" t="inlineStr">
        <is>
          <t>MPPHM 17(3)(c)</t>
        </is>
      </c>
      <c r="D144" s="7" t="inlineStr"/>
      <c r="E144" s="7" t="inlineStr"/>
      <c r="F144" t="inlineStr">
        <is>
          <t>G</t>
        </is>
      </c>
    </row>
    <row r="145">
      <c r="A145" s="7" t="inlineStr">
        <is>
          <t>G4</t>
        </is>
      </c>
      <c r="B145" s="7" t="inlineStr">
        <is>
          <t>Kerja upah (toll processing) yang menggunakan bahan yang dibekalkan pelanggan: status halal bahan itu disahkan dan didokumenkan sebelum diproses di talian yang sama.</t>
        </is>
      </c>
      <c r="C145" s="7" t="inlineStr">
        <is>
          <t>MPPHM 17(3)(b), 17(3)(c); MHMS 5(7) (Kawalan Bahan Mentah)</t>
        </is>
      </c>
      <c r="D145" s="7" t="inlineStr"/>
      <c r="E145" s="7" t="inlineStr"/>
      <c r="F145" t="inlineStr">
        <is>
          <t>G</t>
        </is>
      </c>
    </row>
    <row r="146">
      <c r="A146" s="7" t="inlineStr">
        <is>
          <t>G5</t>
        </is>
      </c>
      <c r="B146" s="7" t="inlineStr">
        <is>
          <t>Formulasi induk setiap produk sepadan dengan bahan yang diisytiharkan, dan rekod pengeluaran (kelompok, bahan, kuantiti) sepadan dengan formulasi terkini.</t>
        </is>
      </c>
      <c r="C146" s="7" t="inlineStr">
        <is>
          <t>MPPHM 17(2)(d), 17(1)(g)</t>
        </is>
      </c>
      <c r="D146" s="7" t="inlineStr"/>
      <c r="E146" s="7" t="inlineStr"/>
      <c r="F146" t="inlineStr">
        <is>
          <t>G</t>
        </is>
      </c>
    </row>
    <row r="147">
      <c r="A147" s="7" t="inlineStr">
        <is>
          <t>G6</t>
        </is>
      </c>
      <c r="B147" s="7" t="inlineStr">
        <is>
          <t>Bahan yang ditimbang atau dimasukkan ke talian dapat dikesan kepada lot bahan yang diterima.</t>
        </is>
      </c>
      <c r="C147" s="7" t="inlineStr">
        <is>
          <t>MHMS 5(9) (Kebolehkesanan)</t>
        </is>
      </c>
      <c r="D147" s="7" t="inlineStr"/>
      <c r="E147" s="7" t="inlineStr"/>
      <c r="F147" t="inlineStr">
        <is>
          <t>G</t>
        </is>
      </c>
    </row>
    <row r="148">
      <c r="A148" s="7" t="inlineStr">
        <is>
          <t>G7</t>
        </is>
      </c>
      <c r="B148" s="7" t="inlineStr">
        <is>
          <t>Barang kulit: proses penyamakan dan kemasan mengikut carta alir yang diluluskan, dan kulit yang belum disamak, yang sedang disamak dan yang telah siap disamak tidak bercampur.</t>
        </is>
      </c>
      <c r="C148" s="7" t="inlineStr">
        <is>
          <t>MS 2803; MS 2200-2 Lampiran A*; MHMS 7(1)(a)(ii)</t>
        </is>
      </c>
      <c r="D148" s="7" t="inlineStr"/>
      <c r="E148" s="7" t="inlineStr"/>
      <c r="F148" t="inlineStr">
        <is>
          <t>G</t>
        </is>
      </c>
    </row>
    <row r="149">
      <c r="A149" s="7" t="inlineStr">
        <is>
          <t>G8</t>
        </is>
      </c>
      <c r="B149" s="7" t="inlineStr">
        <is>
          <t>Produk kerja semula (rework), produk ditolak dan sisa proses dikendalikan mengikut prosedur, dilabel, dan tidak dicampur dengan bahan yang tidak diisytiharkan.</t>
        </is>
      </c>
      <c r="C149" s="7" t="inlineStr">
        <is>
          <t>MPPHM 17(4)(b); MS 2738 kl. 4.4*</t>
        </is>
      </c>
      <c r="D149" s="7" t="inlineStr"/>
      <c r="E149" s="7" t="inlineStr"/>
      <c r="F149" t="inlineStr">
        <is>
          <t>G</t>
        </is>
      </c>
    </row>
    <row r="150">
      <c r="A150" s="7" t="inlineStr">
        <is>
          <t>G9</t>
        </is>
      </c>
      <c r="B150" s="7" t="inlineStr">
        <is>
          <t>Pemprosesan dan pengendalian mematuhi amalan pengilangan yang baik (GMP) yang sesuai dengan jenis produk, dan kawasan pemprosesan bersih serta teratur.</t>
        </is>
      </c>
      <c r="C150" s="7" t="inlineStr">
        <is>
          <t>MPPHM 17(3)(e), 17(3)(f); MS 2738 kl. 4.3*</t>
        </is>
      </c>
      <c r="D150" s="7" t="inlineStr"/>
      <c r="E150" s="7" t="inlineStr"/>
      <c r="F150" t="inlineStr">
        <is>
          <t>G</t>
        </is>
      </c>
    </row>
    <row r="151">
      <c r="A151" s="7" t="inlineStr">
        <is>
          <t>G10</t>
        </is>
      </c>
      <c r="B151" s="7" t="inlineStr">
        <is>
          <t>Di kawasan pemprosesan, bahan kimia beracun atau berbahaya yang bukan bahan proses (cth. racun perosak, bahan kimia penyelenggaraan), bahan pencuci untuk pembersihan premis dan peralatan, serta barang yang tidak berkaitan tidak diletak atau disimpan bersama bahan dan produk.</t>
        </is>
      </c>
      <c r="C151" s="7" t="inlineStr">
        <is>
          <t>MPPHM 17(3)(g)</t>
        </is>
      </c>
      <c r="D151" s="7" t="inlineStr"/>
      <c r="E151" s="7" t="inlineStr"/>
      <c r="F151" t="inlineStr">
        <is>
          <t>G</t>
        </is>
      </c>
    </row>
    <row r="152">
      <c r="A152" s="7" t="inlineStr">
        <is>
          <t>G11</t>
        </is>
      </c>
      <c r="B152" s="7" t="inlineStr">
        <is>
          <t>Produk dan reka bentuknya tidak menyerupai haiwan najis mughallazah (cth. berus atau bekas berbentuk babi atau anjing), tidak mengandungi unsur keagamaan, dan tidak memberi implikasi negatif.</t>
        </is>
      </c>
      <c r="C152" s="7" t="inlineStr">
        <is>
          <t>MPPHM 17(2)(a)</t>
        </is>
      </c>
      <c r="D152" s="7" t="inlineStr"/>
      <c r="E152" s="7" t="inlineStr"/>
      <c r="F152" t="inlineStr">
        <is>
          <t>G</t>
        </is>
      </c>
    </row>
    <row r="153">
      <c r="A153" s="7" t="inlineStr">
        <is>
          <t>G12</t>
        </is>
      </c>
      <c r="B153" s="7" t="inlineStr">
        <is>
          <t>Produk selamat digunakan (tidak beracun dan tidak memudaratkan kesihatan) dan mematuhi standard keselamatan wajib di bawah Akta Perlindungan Pengguna 1999 jika standard itu ditetapkan bagi jenis produk tersebut.</t>
        </is>
      </c>
      <c r="C153" s="7" t="inlineStr">
        <is>
          <t>Perintah Takrif Halal 2011 perenggan 3(1)(e); APP 1999 s. 19, 20, 21; MPPHM 17(2)(g)</t>
        </is>
      </c>
      <c r="D153" s="7" t="inlineStr"/>
      <c r="E153" s="7" t="inlineStr"/>
      <c r="F153" t="inlineStr">
        <is>
          <t>G</t>
        </is>
      </c>
    </row>
    <row r="154">
      <c r="A154" s="7" t="inlineStr">
        <is>
          <t>G13</t>
        </is>
      </c>
      <c r="B154" s="7" t="inlineStr">
        <is>
          <t>Berat, isipadu atau bilangan produk sama dengan yang dinyatakan pada label.</t>
        </is>
      </c>
      <c r="C154" s="7" t="inlineStr">
        <is>
          <t>MPPHM 17(2)(f)</t>
        </is>
      </c>
      <c r="D154" s="7" t="inlineStr"/>
      <c r="E154" s="7" t="inlineStr"/>
      <c r="F154" t="inlineStr">
        <is>
          <t>G</t>
        </is>
      </c>
    </row>
    <row r="155">
      <c r="A155" s="4" t="inlineStr">
        <is>
          <t>Bahagian H: Peralatan, Mesin &amp; Penyelenggaraan</t>
        </is>
      </c>
      <c r="B155" s="5" t="n"/>
      <c r="C155" s="5" t="n"/>
      <c r="D155" s="5" t="n"/>
      <c r="E155" s="6" t="n"/>
    </row>
    <row r="156" ht="26" customHeight="1">
      <c r="A156" s="2" t="inlineStr">
        <is>
          <t>Periksa mesin, peralatan, alat ganti, pelincir dan rekod penyelenggaraan di kawasan pengeluaran dan di bengkel.</t>
        </is>
      </c>
    </row>
    <row r="157">
      <c r="A157" s="7" t="inlineStr">
        <is>
          <t>H1</t>
        </is>
      </c>
      <c r="B157" s="7" t="inlineStr">
        <is>
          <t>Peralatan dan perkakasan digunakan untuk produk halal sahaja.</t>
        </is>
      </c>
      <c r="C157" s="7" t="inlineStr">
        <is>
          <t>MPPHM 17(5)(a); MS 2738 kl. 4.4*</t>
        </is>
      </c>
      <c r="D157" s="7" t="inlineStr"/>
      <c r="E157" s="7" t="inlineStr"/>
      <c r="F157" t="inlineStr">
        <is>
          <t>H</t>
        </is>
      </c>
    </row>
    <row r="158">
      <c r="A158" s="7" t="inlineStr">
        <is>
          <t>H2</t>
        </is>
      </c>
      <c r="B158" s="7" t="inlineStr">
        <is>
          <t>Tiada peralatan yang berlabel atau berimplikasi negatif (cth. peralatan berjenama minuman keras).</t>
        </is>
      </c>
      <c r="C158" s="7" t="inlineStr">
        <is>
          <t>MPPHM 17(5)(b)</t>
        </is>
      </c>
      <c r="D158" s="7" t="inlineStr"/>
      <c r="E158" s="7" t="inlineStr"/>
      <c r="F158" t="inlineStr">
        <is>
          <t>H</t>
        </is>
      </c>
    </row>
    <row r="159">
      <c r="A159" s="7" t="inlineStr">
        <is>
          <t>H3</t>
        </is>
      </c>
      <c r="B159" s="7" t="inlineStr">
        <is>
          <t>Peralatan bersumberkan haiwan (cth. berus pembersih mesin, kuas cat penyelenggaraan, penapis berasaskan karbon tulang, tali sawat kulit) hanya digunakan selepas status halalnya dikenal pasti.</t>
        </is>
      </c>
      <c r="C159" s="7" t="inlineStr">
        <is>
          <t>MPPHM 17(5)(c)</t>
        </is>
      </c>
      <c r="D159" s="7" t="inlineStr"/>
      <c r="E159" s="7" t="inlineStr"/>
      <c r="F159" t="inlineStr">
        <is>
          <t>H</t>
        </is>
      </c>
    </row>
    <row r="160">
      <c r="A160" s="7" t="inlineStr">
        <is>
          <t>H4</t>
        </is>
      </c>
      <c r="B160" s="7" t="inlineStr">
        <is>
          <t>Sumber pelincir, gris, minyak hidraulik, agen pelepas acuan dan agen anti-lekat yang mungkin bersentuhan dengan produk disahkan melalui sijil halal atau dokumen sumber.</t>
        </is>
      </c>
      <c r="C160" s="7" t="inlineStr">
        <is>
          <t>MHMS 5(7) (Kawalan Bahan Mentah); MS 2738 kl. 4.4*</t>
        </is>
      </c>
      <c r="D160" s="7" t="inlineStr"/>
      <c r="E160" s="7" t="inlineStr"/>
      <c r="F160" t="inlineStr">
        <is>
          <t>H</t>
        </is>
      </c>
    </row>
    <row r="161">
      <c r="A161" s="7" t="inlineStr">
        <is>
          <t>H5</t>
        </is>
      </c>
      <c r="B161" s="7" t="inlineStr">
        <is>
          <t>Peralatan dalam keadaan baik, bersih, bebas najis, tidak toksik dan tidak berkarat, serta tidak memberi kesan sampingan kepada produk.</t>
        </is>
      </c>
      <c r="C161" s="7" t="inlineStr">
        <is>
          <t>MPPHM 17(5)(d); Perintah Takrif Halal 2011 perenggan 3(1)(f)</t>
        </is>
      </c>
      <c r="D161" s="7" t="inlineStr"/>
      <c r="E161" s="7" t="inlineStr"/>
      <c r="F161" t="inlineStr">
        <is>
          <t>H</t>
        </is>
      </c>
    </row>
    <row r="162">
      <c r="A162" s="7" t="inlineStr">
        <is>
          <t>H6</t>
        </is>
      </c>
      <c r="B162" s="7" t="inlineStr">
        <is>
          <t>Prosedur dan jadual pembersihan serta penyelenggaraan berkala dilaksanakan dan direkodkan, termasuk tentukuran alat timbang dan sukat.</t>
        </is>
      </c>
      <c r="C162" s="7" t="inlineStr">
        <is>
          <t>MPPHM 17(5)(e)</t>
        </is>
      </c>
      <c r="D162" s="7" t="inlineStr"/>
      <c r="E162" s="7" t="inlineStr"/>
      <c r="F162" t="inlineStr">
        <is>
          <t>H</t>
        </is>
      </c>
    </row>
    <row r="163">
      <c r="A163" s="7" t="inlineStr">
        <is>
          <t>H7</t>
        </is>
      </c>
      <c r="B163" s="7" t="inlineStr">
        <is>
          <t>Peralatan yang rosak atau tidak digunakan dikenal pasti, dialihkan atau diasingkan.</t>
        </is>
      </c>
      <c r="C163" s="7" t="inlineStr">
        <is>
          <t>MPPHM 17(5)(f)</t>
        </is>
      </c>
      <c r="D163" s="7" t="inlineStr"/>
      <c r="E163" s="7" t="inlineStr"/>
      <c r="F163" t="inlineStr">
        <is>
          <t>H</t>
        </is>
      </c>
    </row>
    <row r="164">
      <c r="A164" s="7" t="inlineStr">
        <is>
          <t>H8</t>
        </is>
      </c>
      <c r="B164" s="7" t="inlineStr">
        <is>
          <t>Peralatan sesuai dengan kegunaannya dan mematuhi perundangan yang berkaitan.</t>
        </is>
      </c>
      <c r="C164" s="7" t="inlineStr">
        <is>
          <t>MPPHM 17(5)(g)</t>
        </is>
      </c>
      <c r="D164" s="7" t="inlineStr"/>
      <c r="E164" s="7" t="inlineStr"/>
      <c r="F164" t="inlineStr">
        <is>
          <t>H</t>
        </is>
      </c>
    </row>
    <row r="165">
      <c r="A165" s="7" t="inlineStr">
        <is>
          <t>H9</t>
        </is>
      </c>
      <c r="B165" s="7" t="inlineStr">
        <is>
          <t>Sejarah penggunaan peralatan terpakai, atau peralatan yang dipindahkan dari kilang lain, disahkan. Peralatan yang pernah digunakan untuk bahan najis mughallazah (cth. dram penyamakan kulit babi) disertu sebelum digunakan, dan rekodnya disimpan.</t>
        </is>
      </c>
      <c r="C165" s="7" t="inlineStr">
        <is>
          <t>MPPHM 17(5)(h); MHMS 5(12) (Sertu)</t>
        </is>
      </c>
      <c r="D165" s="7" t="inlineStr"/>
      <c r="E165" s="7" t="inlineStr"/>
      <c r="F165" t="inlineStr">
        <is>
          <t>H</t>
        </is>
      </c>
    </row>
    <row r="166">
      <c r="A166" s="7" t="inlineStr">
        <is>
          <t>H10</t>
        </is>
      </c>
      <c r="B166" s="7" t="inlineStr">
        <is>
          <t>Kontraktor penyelenggaraan luar menggunakan alat ganti dan pelincir yang diluluskan, dan tidak membawa bahan tidak halal ke kawasan pengeluaran.</t>
        </is>
      </c>
      <c r="C166" s="7" t="inlineStr">
        <is>
          <t>MPPHM 17(3)(b); MHMS 5(6) (Kawalan Risiko Halal)</t>
        </is>
      </c>
      <c r="D166" s="7" t="inlineStr"/>
      <c r="E166" s="7" t="inlineStr"/>
      <c r="F166" t="inlineStr">
        <is>
          <t>H</t>
        </is>
      </c>
    </row>
    <row r="167">
      <c r="A167" s="4" t="inlineStr">
        <is>
          <t>Bahagian I: Pembungkusan, Pelabelan, Logo Halal &amp; Sijil</t>
        </is>
      </c>
      <c r="B167" s="5" t="n"/>
      <c r="C167" s="5" t="n"/>
      <c r="D167" s="5" t="n"/>
      <c r="E167" s="6" t="n"/>
    </row>
    <row r="168" ht="26" customHeight="1">
      <c r="A168" s="2" t="inlineStr">
        <is>
          <t>Periksa bahan pembungkusan, label produk, label pukal, iklan, katalog, laman web dan salinan SPHM, dan bandingkan dengan perisytiharan dalam MYeHALAL.</t>
        </is>
      </c>
    </row>
    <row r="169">
      <c r="A169" s="7" t="inlineStr">
        <is>
          <t>I1</t>
        </is>
      </c>
      <c r="B169" s="7" t="inlineStr">
        <is>
          <t>Bahan pembungkusan dan pelabelan bagi produk yang dipohon halal, selamat dan tidak mencemarkan produk.</t>
        </is>
      </c>
      <c r="C169" s="7" t="inlineStr">
        <is>
          <t>MPPHM 17(6)(a); MS 2738 kl. 4.5*</t>
        </is>
      </c>
      <c r="D169" s="7" t="inlineStr"/>
      <c r="E169" s="7" t="inlineStr"/>
      <c r="F169" t="inlineStr">
        <is>
          <t>I</t>
        </is>
      </c>
    </row>
    <row r="170">
      <c r="A170" s="7" t="inlineStr">
        <is>
          <t>I2</t>
        </is>
      </c>
      <c r="B170" s="7" t="inlineStr">
        <is>
          <t>Bekas pukal terpakai (drum, IBC, tong) yang digunakan semula untuk produk atau bahan disahkan muatan asalnya, iaitu bukan bahan tidak halal atau najis, dan bekas itu dibersihkan sebelum digunakan.</t>
        </is>
      </c>
      <c r="C170" s="7" t="inlineStr">
        <is>
          <t>MPPHM 17(6)(a); MS 2738 kl. 4.5*</t>
        </is>
      </c>
      <c r="D170" s="7" t="inlineStr"/>
      <c r="E170" s="7" t="inlineStr"/>
      <c r="F170" t="inlineStr">
        <is>
          <t>I</t>
        </is>
      </c>
    </row>
    <row r="171">
      <c r="A171" s="7" t="inlineStr">
        <is>
          <t>I3</t>
        </is>
      </c>
      <c r="B171" s="7" t="inlineStr">
        <is>
          <t>Pembungkusan, label dan iklan tidak melanggar Hukum Syarak, tidak menggunakan nama Allah atau istilah keagamaan, dan tidak memaparkan unsur yang tidak sopan.</t>
        </is>
      </c>
      <c r="C171" s="7" t="inlineStr">
        <is>
          <t>MPPHM 17(6)(b), 17(6)(c)</t>
        </is>
      </c>
      <c r="D171" s="7" t="inlineStr"/>
      <c r="E171" s="7" t="inlineStr"/>
      <c r="F171" t="inlineStr">
        <is>
          <t>I</t>
        </is>
      </c>
    </row>
    <row r="172">
      <c r="A172" s="7" t="inlineStr">
        <is>
          <t>I4</t>
        </is>
      </c>
      <c r="B172" s="7" t="inlineStr">
        <is>
          <t>Label dan iklan tidak memaparkan gambar haiwan najis mughallazah atau unsur yang memberi implikasi negatif.</t>
        </is>
      </c>
      <c r="C172" s="7" t="inlineStr">
        <is>
          <t>MPPHM 17(6)(d)</t>
        </is>
      </c>
      <c r="D172" s="7" t="inlineStr"/>
      <c r="E172" s="7" t="inlineStr"/>
      <c r="F172" t="inlineStr">
        <is>
          <t>I</t>
        </is>
      </c>
    </row>
    <row r="173">
      <c r="A173" s="7" t="inlineStr">
        <is>
          <t>I5</t>
        </is>
      </c>
      <c r="B173" s="7" t="inlineStr">
        <is>
          <t>Nama produk pada label sama dengan nama yang diisytiharkan dalam MYeHALAL dan yang tercatat pada SPHM.</t>
        </is>
      </c>
      <c r="C173" s="7" t="inlineStr">
        <is>
          <t>MPPHM 17(6)(e), 17(2)(c)</t>
        </is>
      </c>
      <c r="D173" s="7" t="inlineStr"/>
      <c r="E173" s="7" t="inlineStr"/>
      <c r="F173" t="inlineStr">
        <is>
          <t>I</t>
        </is>
      </c>
    </row>
    <row r="174">
      <c r="A174" s="7" t="inlineStr">
        <is>
          <t>I6</t>
        </is>
      </c>
      <c r="B174" s="7" t="inlineStr">
        <is>
          <t>Label dicetak dengan terang dan jelas, dan cetakannya tidak mudah dipadam.</t>
        </is>
      </c>
      <c r="C174" s="7" t="inlineStr">
        <is>
          <t>MPPHM 17(6)(f)</t>
        </is>
      </c>
      <c r="D174" s="7" t="inlineStr"/>
      <c r="E174" s="7" t="inlineStr"/>
      <c r="F174" t="inlineStr">
        <is>
          <t>I</t>
        </is>
      </c>
    </row>
    <row r="175">
      <c r="A175" s="7" t="inlineStr">
        <is>
          <t>I7</t>
        </is>
      </c>
      <c r="B175" s="7" t="inlineStr">
        <is>
          <t>Produk yang diproses dan dibungkus di Malaysia dilabel dalam Bahasa Melayu, dan terjemahan dibenarkan. Menurut Pindaan 2026, label produk pasaran domestik dalam Bahasa Melayu dan/atau Bahasa Inggeris diterima, tertakluk kepada peraturan yang berkaitan, dan label produk eksport mematuhi keperluan negara pengimport.</t>
        </is>
      </c>
      <c r="C175" s="7" t="inlineStr">
        <is>
          <t>MPPHM 17(6)(i); MPPHM Pindaan 17(6)(i)</t>
        </is>
      </c>
      <c r="D175" s="7" t="inlineStr"/>
      <c r="E175" s="7" t="inlineStr"/>
      <c r="F175" t="inlineStr">
        <is>
          <t>I</t>
        </is>
      </c>
    </row>
    <row r="176">
      <c r="A176" s="7" t="inlineStr">
        <is>
          <t>I8</t>
        </is>
      </c>
      <c r="B176" s="7" t="inlineStr">
        <is>
          <t>Label memaparkan nama produk, nama dan alamat pemegang SPHM, serta Logo Halal Malaysia bersama nombor MS dan 10 angka terakhir nombor rujukan fail.</t>
        </is>
      </c>
      <c r="C176" s="7" t="inlineStr">
        <is>
          <t>MPPHM 17(6)(j)</t>
        </is>
      </c>
      <c r="D176" s="7" t="inlineStr"/>
      <c r="E176" s="7" t="inlineStr"/>
      <c r="F176" t="inlineStr">
        <is>
          <t>I</t>
        </is>
      </c>
    </row>
    <row r="177">
      <c r="A177" s="7" t="inlineStr">
        <is>
          <t>I9</t>
        </is>
      </c>
      <c r="B177" s="7" t="inlineStr">
        <is>
          <t>Logo Halal Malaysia hanya digunakan pada produk yang diluluskan dalam SPHM, dan tidak pada produk lain dalam jenama atau kilang yang sama. Bentuk, warna dan perkadaran logo tidak diubah, dan logo dilekatkan pada produk atau bungkusannya.</t>
        </is>
      </c>
      <c r="C177" s="7" t="inlineStr">
        <is>
          <t>MPPHM 40, 41; MS 2738 kl. 7*; Perintah Perakuan &amp; Penandaan Halal 2011 perenggan 4(1), 6</t>
        </is>
      </c>
      <c r="D177" s="7" t="inlineStr"/>
      <c r="E177" s="7" t="inlineStr"/>
      <c r="F177" t="inlineStr">
        <is>
          <t>I</t>
        </is>
      </c>
    </row>
    <row r="178">
      <c r="A178" s="7" t="inlineStr">
        <is>
          <t>I10</t>
        </is>
      </c>
      <c r="B178" s="7" t="inlineStr">
        <is>
          <t>Tiada logo halal tiruan, logo badan pensijilan yang tidak diiktiraf, atau perkataan dan ungkapan seperti 'Halal' atau 'Ditanggung Halal' pada produk yang tidak disijilkan.</t>
        </is>
      </c>
      <c r="C178" s="7" t="inlineStr">
        <is>
          <t>APD 2011 s. 28, 29; Perintah Perakuan &amp; Penandaan Halal 2011 perenggan 3, 4(1)</t>
        </is>
      </c>
      <c r="D178" s="7" t="inlineStr"/>
      <c r="E178" s="7" t="inlineStr"/>
      <c r="F178" t="inlineStr">
        <is>
          <t>I</t>
        </is>
      </c>
    </row>
    <row r="179">
      <c r="A179" s="7" t="inlineStr">
        <is>
          <t>I11</t>
        </is>
      </c>
      <c r="B179" s="7" t="inlineStr">
        <is>
          <t>Tuntutan pada label dan iklan (cth. 'bebas bahan haiwan', 'sesuai untuk sertu', 'mesra Muslim') benar, disokong bukti, dan tidak mengelirukan.</t>
        </is>
      </c>
      <c r="C179" s="7" t="inlineStr">
        <is>
          <t>MPPHM 17(6)(g); APD 2011 s. 5; APP 1999 s. 10</t>
        </is>
      </c>
      <c r="D179" s="7" t="inlineStr"/>
      <c r="E179" s="7" t="inlineStr"/>
      <c r="F179" t="inlineStr">
        <is>
          <t>I</t>
        </is>
      </c>
    </row>
    <row r="180">
      <c r="A180" s="7" t="inlineStr">
        <is>
          <t>I12</t>
        </is>
      </c>
      <c r="B180" s="7" t="inlineStr">
        <is>
          <t>Barang kulit, berus dan produk berbulu: perihal spesies pada label (cth. 'kulit lembu', 'bulu kambing') sepadan dengan dokumen sumber.</t>
        </is>
      </c>
      <c r="C180" s="7" t="inlineStr">
        <is>
          <t>APD 2011 s. 5; MS 2803</t>
        </is>
      </c>
      <c r="D180" s="7" t="inlineStr"/>
      <c r="E180" s="7" t="inlineStr"/>
      <c r="F180" t="inlineStr">
        <is>
          <t>I</t>
        </is>
      </c>
    </row>
    <row r="181">
      <c r="A181" s="7" t="inlineStr">
        <is>
          <t>I13</t>
        </is>
      </c>
      <c r="B181" s="7" t="inlineStr">
        <is>
          <t>Pembungkusan, pelabelan dan pengiklanan mematuhi standard, perundangan dan peraturan yang berkaitan dengan jenis produk.</t>
        </is>
      </c>
      <c r="C181" s="7" t="inlineStr">
        <is>
          <t>MPPHM 17(6)(h); MS 2738 kl. 4.5*, 4.7*</t>
        </is>
      </c>
      <c r="D181" s="7" t="inlineStr"/>
      <c r="E181" s="7" t="inlineStr"/>
      <c r="F181" t="inlineStr">
        <is>
          <t>I</t>
        </is>
      </c>
    </row>
    <row r="182">
      <c r="A182" s="7" t="inlineStr">
        <is>
          <t>I14</t>
        </is>
      </c>
      <c r="B182" s="7" t="inlineStr">
        <is>
          <t>Produk pukal dan bahan bantu pemprosesan tanpa label runcit (cth. dalam tangki, beg jumbo atau silinder gas): dokumen penghantaran, sijil analisis (COA) dan label pukal menyatakan nama produk dan nombor lot yang sama seperti dalam SPHM dan MYeHALAL.</t>
        </is>
      </c>
      <c r="C182" s="7" t="inlineStr">
        <is>
          <t>MPPHM 17(6)(e); MHMS 5(9) (Kebolehkesanan)</t>
        </is>
      </c>
      <c r="D182" s="7" t="inlineStr"/>
      <c r="E182" s="7" t="inlineStr"/>
      <c r="F182" t="inlineStr">
        <is>
          <t>I</t>
        </is>
      </c>
    </row>
    <row r="183">
      <c r="A183" s="7" t="inlineStr">
        <is>
          <t>I15</t>
        </is>
      </c>
      <c r="B183" s="7" t="inlineStr">
        <is>
          <t>Iklan, katalog, laman web dan media sosial hanya memaparkan logo halal bagi produk yang disijilkan.</t>
        </is>
      </c>
      <c r="C183" s="7" t="inlineStr">
        <is>
          <t>MPPHM 41; Perintah Perakuan &amp; Penandaan Halal 2011 perenggan 4(1)</t>
        </is>
      </c>
      <c r="D183" s="7" t="inlineStr"/>
      <c r="E183" s="7" t="inlineStr"/>
      <c r="F183" t="inlineStr">
        <is>
          <t>I</t>
        </is>
      </c>
    </row>
    <row r="184">
      <c r="A184" s="7" t="inlineStr">
        <is>
          <t>I16</t>
        </is>
      </c>
      <c r="B184" s="7" t="inlineStr">
        <is>
          <t>Pencetak bahan pembungkusan: Logo Halal Malaysia hanya dicetak pada bungkusan pelanggan selepas salinan SPHM pelanggan yang sah bagi produk itu disemak, dan salinan tersebut disimpan.</t>
        </is>
      </c>
      <c r="C184" s="7" t="inlineStr">
        <is>
          <t>Perintah Perakuan &amp; Penandaan Halal 2011 perenggan 4(1); APD 2011 s. 5</t>
        </is>
      </c>
      <c r="D184" s="7" t="inlineStr"/>
      <c r="E184" s="7" t="inlineStr"/>
      <c r="F184" t="inlineStr">
        <is>
          <t>I</t>
        </is>
      </c>
    </row>
    <row r="185">
      <c r="A185" s="7" t="inlineStr">
        <is>
          <t>I17</t>
        </is>
      </c>
      <c r="B185" s="7" t="inlineStr">
        <is>
          <t>SPHM yang sah dan masih dalam tempoh sah laku tersedia, dan nama syarikat, alamat premis serta senarai produk pada sijil sepadan dengan premis dan produk yang diaudit.</t>
        </is>
      </c>
      <c r="C185" s="7" t="inlineStr">
        <is>
          <t>MPPHM 34, 35, 36; MS 2738 kl. 6*</t>
        </is>
      </c>
      <c r="D185" s="7" t="inlineStr"/>
      <c r="E185" s="7" t="inlineStr"/>
      <c r="F185" t="inlineStr">
        <is>
          <t>I</t>
        </is>
      </c>
    </row>
    <row r="186">
      <c r="A186" s="7" t="inlineStr">
        <is>
          <t>I18</t>
        </is>
      </c>
      <c r="B186" s="7" t="inlineStr">
        <is>
          <t>Salinan SPHM yang diberikan kepada pelanggan (cth. pengilang yang membeli bungkusan atau bahan bantu pemprosesan) ialah salinan lengkap yang tidak diubah, termasuk senarai produk.</t>
        </is>
      </c>
      <c r="C186" s="7" t="inlineStr">
        <is>
          <t>MPPHM 36; MPPHM Pindaan 36(6)</t>
        </is>
      </c>
      <c r="D186" s="7" t="inlineStr"/>
      <c r="E186" s="7" t="inlineStr"/>
      <c r="F186" t="inlineStr">
        <is>
          <t>I</t>
        </is>
      </c>
    </row>
    <row r="187">
      <c r="A187" s="4" t="inlineStr">
        <is>
          <t>Bahagian J: Penyimpanan &amp; Pengangkutan</t>
        </is>
      </c>
      <c r="B187" s="5" t="n"/>
      <c r="C187" s="5" t="n"/>
      <c r="D187" s="5" t="n"/>
      <c r="E187" s="6" t="n"/>
    </row>
    <row r="188" ht="26" customHeight="1">
      <c r="A188" s="2" t="inlineStr">
        <is>
          <t>Periksa stor bahan mentah, stor bahan kimia, stor produk siap, kawasan penghantaran, kenderaan dan kontrak pihak ketiga.</t>
        </is>
      </c>
    </row>
    <row r="189">
      <c r="A189" s="7" t="inlineStr">
        <is>
          <t>J1</t>
        </is>
      </c>
      <c r="B189" s="7" t="inlineStr">
        <is>
          <t>Stor hanya menyimpan bahan dan produk halal, termasuk produk dagangan.</t>
        </is>
      </c>
      <c r="C189" s="7" t="inlineStr">
        <is>
          <t>MPPHM 17(4)(a); MS 2738 kl. 4.4*</t>
        </is>
      </c>
      <c r="D189" s="7" t="inlineStr"/>
      <c r="E189" s="7" t="inlineStr"/>
      <c r="F189" t="inlineStr">
        <is>
          <t>J</t>
        </is>
      </c>
    </row>
    <row r="190">
      <c r="A190" s="7" t="inlineStr">
        <is>
          <t>J2</t>
        </is>
      </c>
      <c r="B190" s="7" t="inlineStr">
        <is>
          <t>Bahan mentah, produk siap, produk R&amp;D, produk ditolak, serta peralatan dan bahan kimia bukan proses diasingkan dan dilabel.</t>
        </is>
      </c>
      <c r="C190" s="7" t="inlineStr">
        <is>
          <t>MPPHM 17(4)(b)</t>
        </is>
      </c>
      <c r="D190" s="7" t="inlineStr"/>
      <c r="E190" s="7" t="inlineStr"/>
      <c r="F190" t="inlineStr">
        <is>
          <t>J</t>
        </is>
      </c>
    </row>
    <row r="191">
      <c r="A191" s="7" t="inlineStr">
        <is>
          <t>J3</t>
        </is>
      </c>
      <c r="B191" s="7" t="inlineStr">
        <is>
          <t>Barang kulit: kulit mentah dan separa siap disimpan berasingan mengikut status (daripada haiwan yang disembelih, perlu dibagh, atau telah dibagh) dan dilabel.</t>
        </is>
      </c>
      <c r="C191" s="7" t="inlineStr">
        <is>
          <t>MS 2803; MPPHM 17(4)(b)</t>
        </is>
      </c>
      <c r="D191" s="7" t="inlineStr"/>
      <c r="E191" s="7" t="inlineStr"/>
      <c r="F191" t="inlineStr">
        <is>
          <t>J</t>
        </is>
      </c>
    </row>
    <row r="192">
      <c r="A192" s="7" t="inlineStr">
        <is>
          <t>J4</t>
        </is>
      </c>
      <c r="B192" s="7" t="inlineStr">
        <is>
          <t>Barang yang tidak berkaitan tidak disimpan bersama bahan mentah dan produk siap.</t>
        </is>
      </c>
      <c r="C192" s="7" t="inlineStr">
        <is>
          <t>MPPHM 17(4)(c)</t>
        </is>
      </c>
      <c r="D192" s="7" t="inlineStr"/>
      <c r="E192" s="7" t="inlineStr"/>
      <c r="F192" t="inlineStr">
        <is>
          <t>J</t>
        </is>
      </c>
    </row>
    <row r="193">
      <c r="A193" s="7" t="inlineStr">
        <is>
          <t>J5</t>
        </is>
      </c>
      <c r="B193" s="7" t="inlineStr">
        <is>
          <t>Bahan disimpan mengikut sifatnya (cth. bahan kimia mengikut keserasian, kulit di tempat yang kering dan berpengudaraan).</t>
        </is>
      </c>
      <c r="C193" s="7" t="inlineStr">
        <is>
          <t>MPPHM 17(4)(d)</t>
        </is>
      </c>
      <c r="D193" s="7" t="inlineStr"/>
      <c r="E193" s="7" t="inlineStr"/>
      <c r="F193" t="inlineStr">
        <is>
          <t>J</t>
        </is>
      </c>
    </row>
    <row r="194">
      <c r="A194" s="7" t="inlineStr">
        <is>
          <t>J6</t>
        </is>
      </c>
      <c r="B194" s="7" t="inlineStr">
        <is>
          <t>Stor bersih dan teratur, bahan disusun di atas palet, dan stor mudah dibersihkan.</t>
        </is>
      </c>
      <c r="C194" s="7" t="inlineStr">
        <is>
          <t>MPPHM 17(4)(e), 17(4)(g)</t>
        </is>
      </c>
      <c r="D194" s="7" t="inlineStr"/>
      <c r="E194" s="7" t="inlineStr"/>
      <c r="F194" t="inlineStr">
        <is>
          <t>J</t>
        </is>
      </c>
    </row>
    <row r="195">
      <c r="A195" s="7" t="inlineStr">
        <is>
          <t>J7</t>
        </is>
      </c>
      <c r="B195" s="7" t="inlineStr">
        <is>
          <t>Prosedur penyimpanan, rekod stok yang lengkap dan penandaan yang jelas (status, nombor lot, tarikh) tersedia.</t>
        </is>
      </c>
      <c r="C195" s="7" t="inlineStr">
        <is>
          <t>MPPHM 17(4)(f)</t>
        </is>
      </c>
      <c r="D195" s="7" t="inlineStr"/>
      <c r="E195" s="7" t="inlineStr"/>
      <c r="F195" t="inlineStr">
        <is>
          <t>J</t>
        </is>
      </c>
    </row>
    <row r="196">
      <c r="A196" s="7" t="inlineStr">
        <is>
          <t>J8</t>
        </is>
      </c>
      <c r="B196" s="7" t="inlineStr">
        <is>
          <t>Stor pihak ketiga mempunyai kontrak bertulis, dan keutamaan diberi kepada pemegang SPHM skim logistik.</t>
        </is>
      </c>
      <c r="C196" s="7" t="inlineStr">
        <is>
          <t>MPPHM 17(4)(h); MHMS 5(6) (Kawalan Risiko Halal)</t>
        </is>
      </c>
      <c r="D196" s="7" t="inlineStr"/>
      <c r="E196" s="7" t="inlineStr"/>
      <c r="F196" t="inlineStr">
        <is>
          <t>J</t>
        </is>
      </c>
    </row>
    <row r="197">
      <c r="A197" s="7" t="inlineStr">
        <is>
          <t>J9</t>
        </is>
      </c>
      <c r="B197" s="7" t="inlineStr">
        <is>
          <t>Stor yang tercemar najis mughallazah telah disertu, dan rekodnya disimpan.</t>
        </is>
      </c>
      <c r="C197" s="7" t="inlineStr">
        <is>
          <t>MPPHM 17(4)(j)</t>
        </is>
      </c>
      <c r="D197" s="7" t="inlineStr"/>
      <c r="E197" s="7" t="inlineStr"/>
      <c r="F197" t="inlineStr">
        <is>
          <t>J</t>
        </is>
      </c>
    </row>
    <row r="198">
      <c r="A198" s="7" t="inlineStr">
        <is>
          <t>J10</t>
        </is>
      </c>
      <c r="B198" s="7" t="inlineStr">
        <is>
          <t>Kenderaan digunakan untuk bahan dan produk halal sahaja, sesuai dengan sifat produk, bersih dan terkawal.</t>
        </is>
      </c>
      <c r="C198" s="7" t="inlineStr">
        <is>
          <t>MPPHM 17(7)(a), 17(7)(b), 17(7)(c); MS 2738 kl. 4.4*</t>
        </is>
      </c>
      <c r="D198" s="7" t="inlineStr"/>
      <c r="E198" s="7" t="inlineStr"/>
      <c r="F198" t="inlineStr">
        <is>
          <t>J</t>
        </is>
      </c>
    </row>
    <row r="199">
      <c r="A199" s="7" t="inlineStr">
        <is>
          <t>J11</t>
        </is>
      </c>
      <c r="B199" s="7" t="inlineStr">
        <is>
          <t>Bagi tangki pukal, kontena atau kenderaan yang dikongsi, rekod muatan terdahulu dan rekod pembersihan disemak, dan kenderaan itu tidak membawa bahan najis mughallazah bersama produk.</t>
        </is>
      </c>
      <c r="C199" s="7" t="inlineStr">
        <is>
          <t>MPPHM 17(7)(a), 17(7)(c)</t>
        </is>
      </c>
      <c r="D199" s="7" t="inlineStr"/>
      <c r="E199" s="7" t="inlineStr"/>
      <c r="F199" t="inlineStr">
        <is>
          <t>J</t>
        </is>
      </c>
    </row>
    <row r="200">
      <c r="A200" s="7" t="inlineStr">
        <is>
          <t>J12</t>
        </is>
      </c>
      <c r="B200" s="7" t="inlineStr">
        <is>
          <t>Pengangkutan pihak ketiga mempunyai kontrak bertulis, dan keutamaan diberi kepada pemegang SPHM skim logistik.</t>
        </is>
      </c>
      <c r="C200" s="7" t="inlineStr">
        <is>
          <t>MPPHM 17(7)(d); MHMS 5(6) (Kawalan Risiko Halal)</t>
        </is>
      </c>
      <c r="D200" s="7" t="inlineStr"/>
      <c r="E200" s="7" t="inlineStr"/>
      <c r="F200" t="inlineStr">
        <is>
          <t>J</t>
        </is>
      </c>
    </row>
    <row r="201">
      <c r="A201" s="7" t="inlineStr">
        <is>
          <t>J13</t>
        </is>
      </c>
      <c r="B201" s="7" t="inlineStr">
        <is>
          <t>Penyimpanan dan pengangkutan mematuhi perundangan berkaitan (cth. bagi bahan kimia berbahaya dan silinder gas).</t>
        </is>
      </c>
      <c r="C201" s="7" t="inlineStr">
        <is>
          <t>MPPHM 17(4)(i), 17(7)(e)</t>
        </is>
      </c>
      <c r="D201" s="7" t="inlineStr"/>
      <c r="E201" s="7" t="inlineStr"/>
      <c r="F201" t="inlineStr">
        <is>
          <t>J</t>
        </is>
      </c>
    </row>
    <row r="202">
      <c r="A202" s="7" t="inlineStr">
        <is>
          <t>J14</t>
        </is>
      </c>
      <c r="B202" s="7" t="inlineStr">
        <is>
          <t>Kenderaan yang tercemar najis mughallazah telah disertu, dan rekodnya disimpan.</t>
        </is>
      </c>
      <c r="C202" s="7" t="inlineStr">
        <is>
          <t>MPPHM 17(7)(f)</t>
        </is>
      </c>
      <c r="D202" s="7" t="inlineStr"/>
      <c r="E202" s="7" t="inlineStr"/>
      <c r="F202" t="inlineStr">
        <is>
          <t>J</t>
        </is>
      </c>
    </row>
    <row r="203">
      <c r="A203" s="4" t="inlineStr">
        <is>
          <t>Bahagian K: Kebersihan, Sanitasi &amp; Kawalan Perosak</t>
        </is>
      </c>
      <c r="B203" s="5" t="n"/>
      <c r="C203" s="5" t="n"/>
      <c r="D203" s="5" t="n"/>
      <c r="E203" s="6" t="n"/>
    </row>
    <row r="204" ht="26" customHeight="1">
      <c r="A204" s="2" t="inlineStr">
        <is>
          <t>Periksa tahap kebersihan keseluruhan, bahan pencuci yang digunakan, kemudahan basuh tangan, tandas, tong sampah, kawasan sisa dan rekod kawalan perosak.</t>
        </is>
      </c>
    </row>
    <row r="205">
      <c r="A205" s="7" t="inlineStr">
        <is>
          <t>K1</t>
        </is>
      </c>
      <c r="B205" s="7" t="inlineStr">
        <is>
          <t>Kawasan pemprosesan dibersihkan mengikut jadual, dan pembersihan direkodkan.</t>
        </is>
      </c>
      <c r="C205" s="7" t="inlineStr">
        <is>
          <t>MPPHM 17(10)(a); MS 2738 kl. 4.3*</t>
        </is>
      </c>
      <c r="D205" s="7" t="inlineStr"/>
      <c r="E205" s="7" t="inlineStr"/>
      <c r="F205" t="inlineStr">
        <is>
          <t>K</t>
        </is>
      </c>
    </row>
    <row r="206">
      <c r="A206" s="7" t="inlineStr">
        <is>
          <t>K2</t>
        </is>
      </c>
      <c r="B206" s="7" t="inlineStr">
        <is>
          <t>Persekitaran premis bersih dan bebas daripada faktor pencemaran.</t>
        </is>
      </c>
      <c r="C206" s="7" t="inlineStr">
        <is>
          <t>MPPHM 17(10)(b)</t>
        </is>
      </c>
      <c r="D206" s="7" t="inlineStr"/>
      <c r="E206" s="7" t="inlineStr"/>
      <c r="F206" t="inlineStr">
        <is>
          <t>K</t>
        </is>
      </c>
    </row>
    <row r="207">
      <c r="A207" s="7" t="inlineStr">
        <is>
          <t>K3</t>
        </is>
      </c>
      <c r="B207" s="7" t="inlineStr">
        <is>
          <t>Kawalan perosak dibuat secara berkala (oleh kontraktor atau secara dalaman) dan direkodkan, dan tiada tanda kehadiran perosak.</t>
        </is>
      </c>
      <c r="C207" s="7" t="inlineStr">
        <is>
          <t>MPPHM 17(10)(c)</t>
        </is>
      </c>
      <c r="D207" s="7" t="inlineStr"/>
      <c r="E207" s="7" t="inlineStr"/>
      <c r="F207" t="inlineStr">
        <is>
          <t>K</t>
        </is>
      </c>
    </row>
    <row r="208">
      <c r="A208" s="7" t="inlineStr">
        <is>
          <t>K4</t>
        </is>
      </c>
      <c r="B208" s="7" t="inlineStr">
        <is>
          <t>Status halal bahan pencuci dan sanitasi yang digunakan pada peralatan dan permukaan yang bersentuhan dengan produk disahkan melalui sijil halal atau dokumen sumber.</t>
        </is>
      </c>
      <c r="C208" s="7" t="inlineStr">
        <is>
          <t>MS 2738 kl. 4.3*; MHMS 5(7) (Kawalan Bahan Mentah)</t>
        </is>
      </c>
      <c r="D208" s="7" t="inlineStr"/>
      <c r="E208" s="7" t="inlineStr"/>
      <c r="F208" t="inlineStr">
        <is>
          <t>K</t>
        </is>
      </c>
    </row>
    <row r="209">
      <c r="A209" s="7" t="inlineStr">
        <is>
          <t>K5</t>
        </is>
      </c>
      <c r="B209" s="7" t="inlineStr">
        <is>
          <t>Kemudahan basuh tangan berfungsi dan disediakan dengan sabun serta tisu atau pengering tangan.</t>
        </is>
      </c>
      <c r="C209" s="7" t="inlineStr">
        <is>
          <t>MPPHM 17(10)(d)</t>
        </is>
      </c>
      <c r="D209" s="7" t="inlineStr"/>
      <c r="E209" s="7" t="inlineStr"/>
      <c r="F209" t="inlineStr">
        <is>
          <t>K</t>
        </is>
      </c>
    </row>
    <row r="210">
      <c r="A210" s="7" t="inlineStr">
        <is>
          <t>K6</t>
        </is>
      </c>
      <c r="B210" s="7" t="inlineStr">
        <is>
          <t>Tong sampah mencukupi, bertutup dan dalam keadaan baik, dan jenis injak kaki digalakkan.</t>
        </is>
      </c>
      <c r="C210" s="7" t="inlineStr">
        <is>
          <t>MPPHM 17(10)(e)</t>
        </is>
      </c>
      <c r="D210" s="7" t="inlineStr"/>
      <c r="E210" s="7" t="inlineStr"/>
      <c r="F210" t="inlineStr">
        <is>
          <t>K</t>
        </is>
      </c>
    </row>
    <row r="211">
      <c r="A211" s="7" t="inlineStr">
        <is>
          <t>K7</t>
        </is>
      </c>
      <c r="B211" s="7" t="inlineStr">
        <is>
          <t>Tandas bersih, tidak berbau, tidak membuka terus ke kawasan pemprosesan, dan mempunyai prosedur pembersihan.</t>
        </is>
      </c>
      <c r="C211" s="7" t="inlineStr">
        <is>
          <t>MPPHM 17(10)(f)</t>
        </is>
      </c>
      <c r="D211" s="7" t="inlineStr"/>
      <c r="E211" s="7" t="inlineStr"/>
      <c r="F211" t="inlineStr">
        <is>
          <t>K</t>
        </is>
      </c>
    </row>
    <row r="212">
      <c r="A212" s="7" t="inlineStr">
        <is>
          <t>K8</t>
        </is>
      </c>
      <c r="B212" s="7" t="inlineStr">
        <is>
          <t>Sisa (termasuk sisa kulit, sisa kimia dan produk ditolak) dibuang dan dilupuskan mengikut prosedur yang teratur dan perundangan yang berkaitan.</t>
        </is>
      </c>
      <c r="C212" s="7" t="inlineStr">
        <is>
          <t>MPPHM 17(10)(g)</t>
        </is>
      </c>
      <c r="D212" s="7" t="inlineStr"/>
      <c r="E212" s="7" t="inlineStr"/>
      <c r="F212" t="inlineStr">
        <is>
          <t>K</t>
        </is>
      </c>
    </row>
    <row r="213">
      <c r="A213" s="4" t="inlineStr">
        <is>
          <t>Bahagian L: Pekerja, Latihan &amp; Kemudahan</t>
        </is>
      </c>
      <c r="B213" s="5" t="n"/>
      <c r="C213" s="5" t="n"/>
      <c r="D213" s="5" t="n"/>
      <c r="E213" s="6" t="n"/>
    </row>
    <row r="214" ht="26" customHeight="1">
      <c r="A214" s="2" t="inlineStr">
        <is>
          <t>Semak senarai pekerja, jadual syif dan rekod latihan, perhatikan amalan pekerja di lantai pengeluaran, dan periksa kemudahan solat, ruang rehat dan loker.</t>
        </is>
      </c>
    </row>
    <row r="215">
      <c r="A215" s="7" t="inlineStr">
        <is>
          <t>L1</t>
        </is>
      </c>
      <c r="B215" s="7" t="inlineStr">
        <is>
          <t>Bukti bagi pekerja Muslim yang dilantik tersedia, iaitu surat lantikan tetap, salinan MyKad yang menunjukkan kewarganegaraan, dan jadual tugas atau syif yang menunjukkan mereka bertugas di kawasan pemprosesan bagi setiap syif. Pekerja itu hadir semasa audit.</t>
        </is>
      </c>
      <c r="C215" s="7" t="inlineStr">
        <is>
          <t>MPPHM 17(9)(a), 18(5)(c)</t>
        </is>
      </c>
      <c r="D215" s="7" t="inlineStr"/>
      <c r="E215" s="7" t="inlineStr"/>
      <c r="F215" t="inlineStr">
        <is>
          <t>L</t>
        </is>
      </c>
    </row>
    <row r="216">
      <c r="A216" s="7" t="inlineStr">
        <is>
          <t>L2</t>
        </is>
      </c>
      <c r="B216" s="7" t="inlineStr">
        <is>
          <t>Pekerja menjaga kebersihan diri dan memakai pakaian yang bersih dan sopan.</t>
        </is>
      </c>
      <c r="C216" s="7" t="inlineStr">
        <is>
          <t>MPPHM 17(9)(b), 17(9)(c)</t>
        </is>
      </c>
      <c r="D216" s="7" t="inlineStr"/>
      <c r="E216" s="7" t="inlineStr"/>
      <c r="F216" t="inlineStr">
        <is>
          <t>L</t>
        </is>
      </c>
    </row>
    <row r="217">
      <c r="A217" s="7" t="inlineStr">
        <is>
          <t>L3</t>
        </is>
      </c>
      <c r="B217" s="7" t="inlineStr">
        <is>
          <t>PPE (cth. penutup kepala, sarung tangan, penutup muka, kaca mata keselamatan) disediakan dan dipakai mengikut tugas, dan sarung tangan kerja kulit yang dipakai bukan daripada kulit babi.</t>
        </is>
      </c>
      <c r="C217" s="7" t="inlineStr">
        <is>
          <t>MPPHM 17(9)(e), 17(5)(c)</t>
        </is>
      </c>
      <c r="D217" s="7" t="inlineStr"/>
      <c r="E217" s="7" t="inlineStr"/>
      <c r="F217" t="inlineStr">
        <is>
          <t>L</t>
        </is>
      </c>
    </row>
    <row r="218">
      <c r="A218" s="7" t="inlineStr">
        <is>
          <t>L4</t>
        </is>
      </c>
      <c r="B218" s="7" t="inlineStr">
        <is>
          <t>Barang peribadi, makanan dan minuman tidak dibawa ke kawasan pemprosesan.</t>
        </is>
      </c>
      <c r="C218" s="7" t="inlineStr">
        <is>
          <t>MPPHM 17(9)(d)</t>
        </is>
      </c>
      <c r="D218" s="7" t="inlineStr"/>
      <c r="E218" s="7" t="inlineStr"/>
      <c r="F218" t="inlineStr">
        <is>
          <t>L</t>
        </is>
      </c>
    </row>
    <row r="219">
      <c r="A219" s="7" t="inlineStr">
        <is>
          <t>L5</t>
        </is>
      </c>
      <c r="B219" s="7" t="inlineStr">
        <is>
          <t>Pekerja tidak merokok atau meludah di kawasan pemprosesan.</t>
        </is>
      </c>
      <c r="C219" s="7" t="inlineStr">
        <is>
          <t>MPPHM 17(9)(f)</t>
        </is>
      </c>
      <c r="D219" s="7" t="inlineStr"/>
      <c r="E219" s="7" t="inlineStr"/>
      <c r="F219" t="inlineStr">
        <is>
          <t>L</t>
        </is>
      </c>
    </row>
    <row r="220">
      <c r="A220" s="7" t="inlineStr">
        <is>
          <t>L6</t>
        </is>
      </c>
      <c r="B220" s="7" t="inlineStr">
        <is>
          <t>Pengambilan pekerja (termasuk pekerja asing) mengikut undang-undang, dan dokumen kerja masih sah.</t>
        </is>
      </c>
      <c r="C220" s="7" t="inlineStr">
        <is>
          <t>MPPHM 17(9)(g)</t>
        </is>
      </c>
      <c r="D220" s="7" t="inlineStr"/>
      <c r="E220" s="7" t="inlineStr"/>
      <c r="F220" t="inlineStr">
        <is>
          <t>L</t>
        </is>
      </c>
    </row>
    <row r="221">
      <c r="A221" s="7" t="inlineStr">
        <is>
          <t>L7</t>
        </is>
      </c>
      <c r="B221" s="7" t="inlineStr">
        <is>
          <t>Kod etika pekerja dan amalan kebersihan yang baik (GHP) diterangkan kepada pekerja dan dipatuhi.</t>
        </is>
      </c>
      <c r="C221" s="7" t="inlineStr">
        <is>
          <t>MPPHM 17(9)(h)</t>
        </is>
      </c>
      <c r="D221" s="7" t="inlineStr"/>
      <c r="E221" s="7" t="inlineStr"/>
      <c r="F221" t="inlineStr">
        <is>
          <t>L</t>
        </is>
      </c>
    </row>
    <row r="222">
      <c r="A222" s="7" t="inlineStr">
        <is>
          <t>L8</t>
        </is>
      </c>
      <c r="B222" s="7" t="inlineStr">
        <is>
          <t>Pekerja baharu menghadiri latihan kesedaran halal dalam tempoh 3 bulan dari tarikh lantikan, dan latihan itu meliputi konsep halal serta prosedur Pensijilan Halal Malaysia.</t>
        </is>
      </c>
      <c r="C222" s="7" t="inlineStr">
        <is>
          <t>MPPHM 17(12)(a), 17(12)(c); MHMS 5(8) (Latihan Halal)</t>
        </is>
      </c>
      <c r="D222" s="7" t="inlineStr"/>
      <c r="E222" s="7" t="inlineStr"/>
      <c r="F222" t="inlineStr">
        <is>
          <t>L</t>
        </is>
      </c>
    </row>
    <row r="223">
      <c r="A223" s="7" t="inlineStr">
        <is>
          <t>L9</t>
        </is>
      </c>
      <c r="B223" s="7" t="inlineStr">
        <is>
          <t>Semua pekerja pemprosesan menghadiri latihan kesedaran halal sekurang-kurangnya sekali setiap 3 tahun, yang dikendalikan oleh individu atau organisasi berdaftar dengan HPB JAKIM. Latihan dalaman oleh Eksekutif atau Penyelia Halal hanya untuk kakitangan syarikat sendiri.</t>
        </is>
      </c>
      <c r="C223" s="7" t="inlineStr">
        <is>
          <t>MPPHM 17(12)(b), 17(12)(c); MPPHM Pindaan 17(12); MHMS 5(8) (Latihan Halal)</t>
        </is>
      </c>
      <c r="D223" s="7" t="inlineStr"/>
      <c r="E223" s="7" t="inlineStr"/>
      <c r="F223" t="inlineStr">
        <is>
          <t>L</t>
        </is>
      </c>
    </row>
    <row r="224">
      <c r="A224" s="7" t="inlineStr">
        <is>
          <t>L10</t>
        </is>
      </c>
      <c r="B224" s="7" t="inlineStr">
        <is>
          <t>Pekerja di kawasan penerimaan dan pemprosesan bahan haiwan (cth. kulit, bulu) diberi taklimat tentang cara mengenal pasti bahan yang dilarang (cth. ciri kulit dan bulu babi) dan tindakan yang perlu diambil jika bahan itu ditemui.</t>
        </is>
      </c>
      <c r="C224" s="7" t="inlineStr">
        <is>
          <t>MHMS 5(8) (Latihan Halal); MPPHM 17(12)(b)</t>
        </is>
      </c>
      <c r="D224" s="7" t="inlineStr"/>
      <c r="E224" s="7" t="inlineStr"/>
      <c r="F224" t="inlineStr">
        <is>
          <t>L</t>
        </is>
      </c>
    </row>
    <row r="225">
      <c r="A225" s="7" t="inlineStr">
        <is>
          <t>L11</t>
        </is>
      </c>
      <c r="B225" s="7" t="inlineStr">
        <is>
          <t>Besar/Sederhana: keberkesanan latihan kesedaran halal dinilai (cth. melalui ujian ringkas atau soal selidik), dan rekod penilaiannya disimpan.</t>
        </is>
      </c>
      <c r="C225" s="7" t="inlineStr">
        <is>
          <t>MHMS 5(8) (Latihan Halal)</t>
        </is>
      </c>
      <c r="D225" s="7" t="inlineStr"/>
      <c r="E225" s="7" t="inlineStr"/>
      <c r="F225" t="inlineStr">
        <is>
          <t>L</t>
        </is>
      </c>
    </row>
    <row r="226">
      <c r="A226" s="7" t="inlineStr">
        <is>
          <t>L12</t>
        </is>
      </c>
      <c r="B226" s="7" t="inlineStr">
        <is>
          <t>Besar/Sederhana: ahli JKHD menghadiri latihan kompetensi halal sekurang-kurangnya sekali setiap 3 tahun, yang dikendalikan oleh Penyedia Latihan Halal berdaftar dengan HPB atau oleh pihak berkuasa berwibawa. Latihan ini merangkumi Syariah dan fatwa, MS, MPPHM, MHMS, perundangan halal dan bahan kritikal (cth. kulit, tulang, bulu dan lemak haiwan).</t>
        </is>
      </c>
      <c r="C226" s="7" t="inlineStr">
        <is>
          <t>MPPHM 17(12)(e), 17(12)(f); MHMS 5(8) (Latihan Halal)</t>
        </is>
      </c>
      <c r="D226" s="7" t="inlineStr"/>
      <c r="E226" s="7" t="inlineStr"/>
      <c r="F226" t="inlineStr">
        <is>
          <t>L</t>
        </is>
      </c>
    </row>
    <row r="227">
      <c r="A227" s="7" t="inlineStr">
        <is>
          <t>L13</t>
        </is>
      </c>
      <c r="B227" s="7" t="inlineStr">
        <is>
          <t>Besar/Sederhana: Pelan Operasi Latihan (POL) menyatakan jenis latihan, peserta, kekerapan, tarikh cadangan, tenaga pengajar dan rekod.</t>
        </is>
      </c>
      <c r="C227" s="7" t="inlineStr">
        <is>
          <t>MHMS 5(8) (Latihan Halal)</t>
        </is>
      </c>
      <c r="D227" s="7" t="inlineStr"/>
      <c r="E227" s="7" t="inlineStr"/>
      <c r="F227" t="inlineStr">
        <is>
          <t>L</t>
        </is>
      </c>
    </row>
    <row r="228">
      <c r="A228" s="7" t="inlineStr">
        <is>
          <t>L14</t>
        </is>
      </c>
      <c r="B228" s="7" t="inlineStr">
        <is>
          <t>Pengurusan memperuntukkan dana dan kemudahan yang mencukupi untuk latihan halal.</t>
        </is>
      </c>
      <c r="C228" s="7" t="inlineStr">
        <is>
          <t>MPPHM 17(12)(g); MHMS 5(8) (Latihan Halal)</t>
        </is>
      </c>
      <c r="D228" s="7" t="inlineStr"/>
      <c r="E228" s="7" t="inlineStr"/>
      <c r="F228" t="inlineStr">
        <is>
          <t>L</t>
        </is>
      </c>
    </row>
    <row r="229">
      <c r="A229" s="7" t="inlineStr">
        <is>
          <t>L15</t>
        </is>
      </c>
      <c r="B229" s="7" t="inlineStr">
        <is>
          <t>Latihan atau taklimat halal diperluas kepada pemilik jenama, pembekal, pengangkut dan pelawat apabila perlu.</t>
        </is>
      </c>
      <c r="C229" s="7" t="inlineStr">
        <is>
          <t>MPPHM 17(12)(d); MHMS 5(8) (Latihan Halal)</t>
        </is>
      </c>
      <c r="D229" s="7" t="inlineStr"/>
      <c r="E229" s="7" t="inlineStr"/>
      <c r="F229" t="inlineStr">
        <is>
          <t>L</t>
        </is>
      </c>
    </row>
    <row r="230">
      <c r="A230" s="7" t="inlineStr">
        <is>
          <t>L16</t>
        </is>
      </c>
      <c r="B230" s="7" t="inlineStr">
        <is>
          <t>Rekod latihan disimpan, dikemas kini dan mudah dicapai.</t>
        </is>
      </c>
      <c r="C230" s="7" t="inlineStr">
        <is>
          <t>MPPHM 17(12)(h); MHMS 5(8) (Latihan Halal)</t>
        </is>
      </c>
      <c r="D230" s="7" t="inlineStr"/>
      <c r="E230" s="7" t="inlineStr"/>
      <c r="F230" t="inlineStr">
        <is>
          <t>L</t>
        </is>
      </c>
    </row>
    <row r="231">
      <c r="A231" s="7" t="inlineStr">
        <is>
          <t>L17</t>
        </is>
      </c>
      <c r="B231" s="7" t="inlineStr">
        <is>
          <t>Ruang atau bilik solat disediakan di lokasi yang munasabah, dengan saiz yang mencukupi, dan dijaga dengan baik.</t>
        </is>
      </c>
      <c r="C231" s="7" t="inlineStr">
        <is>
          <t>MPPHM 17(11)(a)</t>
        </is>
      </c>
      <c r="D231" s="7" t="inlineStr"/>
      <c r="E231" s="7" t="inlineStr"/>
      <c r="F231" t="inlineStr">
        <is>
          <t>L</t>
        </is>
      </c>
    </row>
    <row r="232">
      <c r="A232" s="7" t="inlineStr">
        <is>
          <t>L18</t>
        </is>
      </c>
      <c r="B232" s="7" t="inlineStr">
        <is>
          <t>Pekerja Muslim diberi pelepasan dan masa yang munasabah untuk menunaikan solat fardu, termasuk solat Jumaat.</t>
        </is>
      </c>
      <c r="C232" s="7" t="inlineStr">
        <is>
          <t>MPPHM 17(11)(b)</t>
        </is>
      </c>
      <c r="D232" s="7" t="inlineStr"/>
      <c r="E232" s="7" t="inlineStr"/>
      <c r="F232" t="inlineStr">
        <is>
          <t>L</t>
        </is>
      </c>
    </row>
    <row r="233">
      <c r="A233" s="7" t="inlineStr">
        <is>
          <t>L19</t>
        </is>
      </c>
      <c r="B233" s="7" t="inlineStr">
        <is>
          <t>Bilik atau ruang persalinan (tukar pakaian) untuk pekerja disediakan mengikut keperluan.</t>
        </is>
      </c>
      <c r="C233" s="7" t="inlineStr">
        <is>
          <t>MPPHM 17(11)(c)</t>
        </is>
      </c>
      <c r="D233" s="7" t="inlineStr"/>
      <c r="E233" s="7" t="inlineStr"/>
      <c r="F233" t="inlineStr">
        <is>
          <t>L</t>
        </is>
      </c>
    </row>
    <row r="234">
      <c r="A234" s="7" t="inlineStr">
        <is>
          <t>L20</t>
        </is>
      </c>
      <c r="B234" s="7" t="inlineStr">
        <is>
          <t>Ruang rehat pekerja disediakan.</t>
        </is>
      </c>
      <c r="C234" s="7" t="inlineStr">
        <is>
          <t>MPPHM 17(11)(d)</t>
        </is>
      </c>
      <c r="D234" s="7" t="inlineStr"/>
      <c r="E234" s="7" t="inlineStr"/>
      <c r="F234" t="inlineStr">
        <is>
          <t>L</t>
        </is>
      </c>
    </row>
    <row r="235">
      <c r="A235" s="7" t="inlineStr">
        <is>
          <t>L21</t>
        </is>
      </c>
      <c r="B235" s="7" t="inlineStr">
        <is>
          <t>Kemudahan menyimpan barang peribadi (loker) disediakan.</t>
        </is>
      </c>
      <c r="C235" s="7" t="inlineStr">
        <is>
          <t>MPPHM 17(11)(e)</t>
        </is>
      </c>
      <c r="D235" s="7" t="inlineStr"/>
      <c r="E235" s="7" t="inlineStr"/>
      <c r="F235" t="inlineStr">
        <is>
          <t>L</t>
        </is>
      </c>
    </row>
    <row r="236">
      <c r="A236" s="4" t="inlineStr">
        <is>
          <t>Bahagian M: Dokumentasi, Rekod, Kebolehkesanan &amp; Aduan</t>
        </is>
      </c>
      <c r="B236" s="5" t="n"/>
      <c r="C236" s="5" t="n"/>
      <c r="D236" s="5" t="n"/>
      <c r="E236" s="6" t="n"/>
    </row>
    <row r="237" ht="26" customHeight="1">
      <c r="A237" s="2" t="inlineStr">
        <is>
          <t>Semak fail dokumentasi dan rekod di pejabat, dan padankan dengan pemerhatian di lapangan.</t>
        </is>
      </c>
    </row>
    <row r="238">
      <c r="A238" s="7" t="inlineStr">
        <is>
          <t>M1</t>
        </is>
      </c>
      <c r="B238" s="7" t="inlineStr">
        <is>
          <t>Dokumen dan rekod dikemas kini, lengkap dan mudah dicapai semasa pemeriksaan, termasuk fail permohonan, fail MHMS (HAS atau IHCS), sijil, rekod pekerja, rekod latihan, rekod pembelian bahan, rekod kawalan perosak, rekod pemprosesan dan laporan audit terdahulu.</t>
        </is>
      </c>
      <c r="C238" s="7" t="inlineStr">
        <is>
          <t>MPPHM 17(14)(a), 17(14)(b); MHMS 5(13) (Dokumentasi dan Rekod)</t>
        </is>
      </c>
      <c r="D238" s="7" t="inlineStr"/>
      <c r="E238" s="7" t="inlineStr"/>
      <c r="F238" t="inlineStr">
        <is>
          <t>M</t>
        </is>
      </c>
    </row>
    <row r="239">
      <c r="A239" s="7" t="inlineStr">
        <is>
          <t>M2</t>
        </is>
      </c>
      <c r="B239" s="7" t="inlineStr">
        <is>
          <t>Rekod disimpan sekurang-kurangnya 3 tahun, dan pemohon baharu mempunyai rekod sekurang-kurangnya 3 bulan.</t>
        </is>
      </c>
      <c r="C239" s="7" t="inlineStr">
        <is>
          <t>MPPHM 17(14)(c), 17(14)(d); MHMS 5(13) (Dokumentasi dan Rekod)</t>
        </is>
      </c>
      <c r="D239" s="7" t="inlineStr"/>
      <c r="E239" s="7" t="inlineStr"/>
      <c r="F239" t="inlineStr">
        <is>
          <t>M</t>
        </is>
      </c>
    </row>
    <row r="240">
      <c r="A240" s="7" t="inlineStr">
        <is>
          <t>M3</t>
        </is>
      </c>
      <c r="B240" s="7" t="inlineStr">
        <is>
          <t>Dokumen sokongan (sijil halal pembekal, spesifikasi, SDS, laporan analisis) disimpan dalam fail berasingan yang mempunyai nombor rujukan dan mudah dirujuk.</t>
        </is>
      </c>
      <c r="C240" s="7" t="inlineStr">
        <is>
          <t>MHMS 5(13) (Dokumentasi dan Rekod)</t>
        </is>
      </c>
      <c r="D240" s="7" t="inlineStr"/>
      <c r="E240" s="7" t="inlineStr"/>
      <c r="F240" t="inlineStr">
        <is>
          <t>M</t>
        </is>
      </c>
    </row>
    <row r="241">
      <c r="A241" s="7" t="inlineStr">
        <is>
          <t>M4</t>
        </is>
      </c>
      <c r="B241" s="7" t="inlineStr">
        <is>
          <t>Sistem kebolehkesanan membolehkan setiap kelompok produk siap dikesan kepada lot bahan mentah dan pembekalnya, dan kepada pelanggan yang menerimanya.</t>
        </is>
      </c>
      <c r="C241" s="7" t="inlineStr">
        <is>
          <t>MHMS 5(9) (Kebolehkesanan); MPPHM 19</t>
        </is>
      </c>
      <c r="D241" s="7" t="inlineStr"/>
      <c r="E241" s="7" t="inlineStr"/>
      <c r="F241" t="inlineStr">
        <is>
          <t>M</t>
        </is>
      </c>
    </row>
    <row r="242">
      <c r="A242" s="7" t="inlineStr">
        <is>
          <t>M5</t>
        </is>
      </c>
      <c r="B242" s="7" t="inlineStr">
        <is>
          <t>Invois dan nota hantaran pembelian sepadan dengan pembekal dan bahan dalam senarai induk.</t>
        </is>
      </c>
      <c r="C242" s="7" t="inlineStr">
        <is>
          <t>MPPHM 17(14)(b); MHMS 5(7) (Kawalan Bahan Mentah)</t>
        </is>
      </c>
      <c r="D242" s="7" t="inlineStr"/>
      <c r="E242" s="7" t="inlineStr"/>
      <c r="F242" t="inlineStr">
        <is>
          <t>M</t>
        </is>
      </c>
    </row>
    <row r="243">
      <c r="A243" s="7" t="inlineStr">
        <is>
          <t>M6</t>
        </is>
      </c>
      <c r="B243" s="7" t="inlineStr">
        <is>
          <t>Rekod analisis makmal (jika ada) disimpan dan mudah dirujuk.</t>
        </is>
      </c>
      <c r="C243" s="7" t="inlineStr">
        <is>
          <t>MHMS 5(11) (Analisis Makmal)</t>
        </is>
      </c>
      <c r="D243" s="7" t="inlineStr"/>
      <c r="E243" s="7" t="inlineStr"/>
      <c r="F243" t="inlineStr">
        <is>
          <t>M</t>
        </is>
      </c>
    </row>
    <row r="244">
      <c r="A244" s="7" t="inlineStr">
        <is>
          <t>M7</t>
        </is>
      </c>
      <c r="B244" s="7" t="inlineStr">
        <is>
          <t>Laporan audit pensijilan halal terdahulu tersedia, dan setiap ketidakakuran telah ditutup dengan tindakan pembetulan.</t>
        </is>
      </c>
      <c r="C244" s="7" t="inlineStr">
        <is>
          <t>MPPHM 17(14)(b), 30</t>
        </is>
      </c>
      <c r="D244" s="7" t="inlineStr"/>
      <c r="E244" s="7" t="inlineStr"/>
      <c r="F244" t="inlineStr">
        <is>
          <t>M</t>
        </is>
      </c>
    </row>
    <row r="245">
      <c r="A245" s="7" t="inlineStr">
        <is>
          <t>M8</t>
        </is>
      </c>
      <c r="B245" s="7" t="inlineStr">
        <is>
          <t>Rekod aduan berkaitan pensijilan halal (cth. aduan pelanggan tentang status halal produk) disimpan, dan tindakan yang diambil terhadap setiap aduan didokumenkan.</t>
        </is>
      </c>
      <c r="C245" s="7" t="inlineStr">
        <is>
          <t>MPPHM Pindaan 17(14)(e), 17(14)(f)</t>
        </is>
      </c>
      <c r="D245" s="7" t="inlineStr"/>
      <c r="E245" s="7" t="inlineStr"/>
      <c r="F245" t="inlineStr">
        <is>
          <t>M</t>
        </is>
      </c>
    </row>
  </sheetData>
  <mergeCells count="27">
    <mergeCell ref="A34:E34"/>
    <mergeCell ref="A83:E83"/>
    <mergeCell ref="A82:E82"/>
    <mergeCell ref="A168:E168"/>
    <mergeCell ref="A6:E6"/>
    <mergeCell ref="A237:E237"/>
    <mergeCell ref="A187:E187"/>
    <mergeCell ref="A7:E7"/>
    <mergeCell ref="A66:E66"/>
    <mergeCell ref="A236:E236"/>
    <mergeCell ref="A120:E120"/>
    <mergeCell ref="A3:E3"/>
    <mergeCell ref="A105:E105"/>
    <mergeCell ref="A214:E214"/>
    <mergeCell ref="A204:E204"/>
    <mergeCell ref="A213:E213"/>
    <mergeCell ref="A33:E33"/>
    <mergeCell ref="A141:E141"/>
    <mergeCell ref="A203:E203"/>
    <mergeCell ref="A188:E188"/>
    <mergeCell ref="A106:E106"/>
    <mergeCell ref="A140:E140"/>
    <mergeCell ref="A156:E156"/>
    <mergeCell ref="A121:E121"/>
    <mergeCell ref="A155:E155"/>
    <mergeCell ref="A167:E167"/>
    <mergeCell ref="A67:E67"/>
  </mergeCells>
  <conditionalFormatting sqref="D6:D245">
    <cfRule type="cellIs" priority="1" operator="equal" dxfId="0">
      <formula>"Tidak"</formula>
    </cfRule>
    <cfRule type="cellIs" priority="2" operator="equal" dxfId="1">
      <formula>"Ya"</formula>
    </cfRule>
  </conditionalFormatting>
  <dataValidations count="1">
    <dataValidation sqref="D8 D9 D10 D11 D12 D13 D14 D15 D16 D17 D18 D19 D20 D21 D22 D23 D24 D25 D26 D27 D28 D29 D30 D31 D32 D35 D36 D37 D38 D39 D40 D41 D42 D43 D44 D45 D46 D47 D48 D49 D50 D51 D52 D53 D54 D55 D56 D57 D58 D59 D60 D61 D62 D63 D64 D65 D68 D69 D70 D71 D72 D73 D74 D75 D76 D77 D78 D79 D80 D81 D84 D85 D86 D87 D88 D89 D90 D91 D92 D93 D94 D95 D96 D97 D98 D99 D100 D101 D102 D103 D104 D107 D108 D109 D110 D111 D112 D113 D114 D115 D116 D117 D118 D119 D122 D123 D124 D125 D126 D127 D128 D129 D130 D131 D132 D133 D134 D135 D136 D137 D138 D139 D142 D143 D144 D145 D146 D147 D148 D149 D150 D151 D152 D153 D154 D157 D158 D159 D160 D161 D162 D163 D164 D165 D166 D169 D170 D171 D172 D173 D174 D175 D176 D177 D178 D179 D180 D181 D182 D183 D184 D185 D186 D189 D190 D191 D192 D193 D194 D195 D196 D197 D198 D199 D200 D201 D202 D205 D206 D207 D208 D209 D210 D211 D212 D215 D216 D217 D218 D219 D220 D221 D222 D223 D224 D225 D226 D227 D228 D229 D230 D231 D232 D233 D234 D235 D238 D239 D240 D241 D242 D243 D244 D245" showDropDown="0" showInputMessage="0" showErrorMessage="0" allowBlank="1" type="list">
      <formula1>"Ya,Tidak,TB"</formula1>
    </dataValidation>
  </dataValidations>
  <pageMargins left="0.75" right="0.75" top="1" bottom="1" header="0.5" footer="0.5"/>
  <pageSetup orientation="landscape" paperSize="9" fitToHeight="0" fitToWidth="1"/>
  <headerFooter>
    <oddHeader/>
    <oddFooter>&amp;CMuka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17"/>
  <sheetViews>
    <sheetView workbookViewId="0">
      <selection activeCell="A1" sqref="A1"/>
    </sheetView>
  </sheetViews>
  <sheetFormatPr baseColWidth="8" defaultRowHeight="15"/>
  <cols>
    <col width="56" customWidth="1" min="1" max="1"/>
    <col width="8" customWidth="1" min="2" max="2"/>
    <col width="8" customWidth="1" min="3" max="3"/>
    <col width="8" customWidth="1" min="4" max="4"/>
    <col width="8" customWidth="1" min="5" max="5"/>
    <col width="12" customWidth="1" min="6" max="6"/>
    <col width="24" customWidth="1" min="7" max="7"/>
  </cols>
  <sheetData>
    <row r="1">
      <c r="A1" s="8" t="inlineStr">
        <is>
          <t>Ringkasan keputusan: Skim Barang Gunaan</t>
        </is>
      </c>
    </row>
    <row r="3">
      <c r="A3" s="9" t="inlineStr">
        <is>
          <t>Bahagian</t>
        </is>
      </c>
      <c r="B3" s="9" t="inlineStr">
        <is>
          <t>Item</t>
        </is>
      </c>
      <c r="C3" s="9" t="inlineStr">
        <is>
          <t>Ya</t>
        </is>
      </c>
      <c r="D3" s="9" t="inlineStr">
        <is>
          <t>Tidak</t>
        </is>
      </c>
      <c r="E3" s="9" t="inlineStr">
        <is>
          <t>TB</t>
        </is>
      </c>
      <c r="F3" s="9" t="inlineStr">
        <is>
          <t>Belum diisi</t>
        </is>
      </c>
      <c r="G3" s="9" t="inlineStr">
        <is>
          <t>% patuh (Ya / (Ya+Tidak))</t>
        </is>
      </c>
    </row>
    <row r="4">
      <c r="A4" t="inlineStr">
        <is>
          <t>A: Kelayakan, Skop Produk &amp; Lesen</t>
        </is>
      </c>
      <c r="B4" t="n">
        <v>25</v>
      </c>
      <c r="C4">
        <f>COUNTIFS('Senarai Semak'!$F$6:$F$245,"A",'Senarai Semak'!$D$6:$D$245,"Ya")</f>
        <v/>
      </c>
      <c r="D4">
        <f>COUNTIFS('Senarai Semak'!$F$6:$F$245,"A",'Senarai Semak'!$D$6:$D$245,"Tidak")</f>
        <v/>
      </c>
      <c r="E4">
        <f>COUNTIFS('Senarai Semak'!$F$6:$F$245,"A",'Senarai Semak'!$D$6:$D$245,"TB")</f>
        <v/>
      </c>
      <c r="F4">
        <f>B4-C4-D4-E4</f>
        <v/>
      </c>
      <c r="G4" s="10">
        <f>IF(C4+D4=0,"",C4/(C4+D4))</f>
        <v/>
      </c>
    </row>
    <row r="5">
      <c r="A5" t="inlineStr">
        <is>
          <t>B: Pengurusan Halal &amp; MHMS mengikut Saiz Industri</t>
        </is>
      </c>
      <c r="B5" t="n">
        <v>31</v>
      </c>
      <c r="C5">
        <f>COUNTIFS('Senarai Semak'!$F$6:$F$245,"B",'Senarai Semak'!$D$6:$D$245,"Ya")</f>
        <v/>
      </c>
      <c r="D5">
        <f>COUNTIFS('Senarai Semak'!$F$6:$F$245,"B",'Senarai Semak'!$D$6:$D$245,"Tidak")</f>
        <v/>
      </c>
      <c r="E5">
        <f>COUNTIFS('Senarai Semak'!$F$6:$F$245,"B",'Senarai Semak'!$D$6:$D$245,"TB")</f>
        <v/>
      </c>
      <c r="F5">
        <f>B5-C5-D5-E5</f>
        <v/>
      </c>
      <c r="G5" s="10">
        <f>IF(C5+D5=0,"",C5/(C5+D5))</f>
        <v/>
      </c>
    </row>
    <row r="6">
      <c r="A6" t="inlineStr">
        <is>
          <t>C: Premis &amp; Persekitaran</t>
        </is>
      </c>
      <c r="B6" t="n">
        <v>14</v>
      </c>
      <c r="C6">
        <f>COUNTIFS('Senarai Semak'!$F$6:$F$245,"C",'Senarai Semak'!$D$6:$D$245,"Ya")</f>
        <v/>
      </c>
      <c r="D6">
        <f>COUNTIFS('Senarai Semak'!$F$6:$F$245,"C",'Senarai Semak'!$D$6:$D$245,"Tidak")</f>
        <v/>
      </c>
      <c r="E6">
        <f>COUNTIFS('Senarai Semak'!$F$6:$F$245,"C",'Senarai Semak'!$D$6:$D$245,"TB")</f>
        <v/>
      </c>
      <c r="F6">
        <f>B6-C6-D6-E6</f>
        <v/>
      </c>
      <c r="G6" s="10">
        <f>IF(C6+D6=0,"",C6/(C6+D6))</f>
        <v/>
      </c>
    </row>
    <row r="7">
      <c r="A7" t="inlineStr">
        <is>
          <t>D: Bahan Mentah, Pembekal &amp; Penerimaan</t>
        </is>
      </c>
      <c r="B7" t="n">
        <v>21</v>
      </c>
      <c r="C7">
        <f>COUNTIFS('Senarai Semak'!$F$6:$F$245,"D",'Senarai Semak'!$D$6:$D$245,"Ya")</f>
        <v/>
      </c>
      <c r="D7">
        <f>COUNTIFS('Senarai Semak'!$F$6:$F$245,"D",'Senarai Semak'!$D$6:$D$245,"Tidak")</f>
        <v/>
      </c>
      <c r="E7">
        <f>COUNTIFS('Senarai Semak'!$F$6:$F$245,"D",'Senarai Semak'!$D$6:$D$245,"TB")</f>
        <v/>
      </c>
      <c r="F7">
        <f>B7-C7-D7-E7</f>
        <v/>
      </c>
      <c r="G7" s="10">
        <f>IF(C7+D7=0,"",C7/(C7+D7))</f>
        <v/>
      </c>
    </row>
    <row r="8">
      <c r="A8" t="inlineStr">
        <is>
          <t>E: Bahan Bersumberkan Haiwan: Kulit, Tulang &amp; Bulu</t>
        </is>
      </c>
      <c r="B8" t="n">
        <v>13</v>
      </c>
      <c r="C8">
        <f>COUNTIFS('Senarai Semak'!$F$6:$F$245,"E",'Senarai Semak'!$D$6:$D$245,"Ya")</f>
        <v/>
      </c>
      <c r="D8">
        <f>COUNTIFS('Senarai Semak'!$F$6:$F$245,"E",'Senarai Semak'!$D$6:$D$245,"Tidak")</f>
        <v/>
      </c>
      <c r="E8">
        <f>COUNTIFS('Senarai Semak'!$F$6:$F$245,"E",'Senarai Semak'!$D$6:$D$245,"TB")</f>
        <v/>
      </c>
      <c r="F8">
        <f>B8-C8-D8-E8</f>
        <v/>
      </c>
      <c r="G8" s="10">
        <f>IF(C8+D8=0,"",C8/(C8+D8))</f>
        <v/>
      </c>
    </row>
    <row r="9">
      <c r="A9" t="inlineStr">
        <is>
          <t>F: Bahan Kritikal mengikut Jenis Produk</t>
        </is>
      </c>
      <c r="B9" t="n">
        <v>18</v>
      </c>
      <c r="C9">
        <f>COUNTIFS('Senarai Semak'!$F$6:$F$245,"F",'Senarai Semak'!$D$6:$D$245,"Ya")</f>
        <v/>
      </c>
      <c r="D9">
        <f>COUNTIFS('Senarai Semak'!$F$6:$F$245,"F",'Senarai Semak'!$D$6:$D$245,"Tidak")</f>
        <v/>
      </c>
      <c r="E9">
        <f>COUNTIFS('Senarai Semak'!$F$6:$F$245,"F",'Senarai Semak'!$D$6:$D$245,"TB")</f>
        <v/>
      </c>
      <c r="F9">
        <f>B9-C9-D9-E9</f>
        <v/>
      </c>
      <c r="G9" s="10">
        <f>IF(C9+D9=0,"",C9/(C9+D9))</f>
        <v/>
      </c>
    </row>
    <row r="10">
      <c r="A10" t="inlineStr">
        <is>
          <t>G: Pemprosesan &amp; Pengilangan</t>
        </is>
      </c>
      <c r="B10" t="n">
        <v>13</v>
      </c>
      <c r="C10">
        <f>COUNTIFS('Senarai Semak'!$F$6:$F$245,"G",'Senarai Semak'!$D$6:$D$245,"Ya")</f>
        <v/>
      </c>
      <c r="D10">
        <f>COUNTIFS('Senarai Semak'!$F$6:$F$245,"G",'Senarai Semak'!$D$6:$D$245,"Tidak")</f>
        <v/>
      </c>
      <c r="E10">
        <f>COUNTIFS('Senarai Semak'!$F$6:$F$245,"G",'Senarai Semak'!$D$6:$D$245,"TB")</f>
        <v/>
      </c>
      <c r="F10">
        <f>B10-C10-D10-E10</f>
        <v/>
      </c>
      <c r="G10" s="10">
        <f>IF(C10+D10=0,"",C10/(C10+D10))</f>
        <v/>
      </c>
    </row>
    <row r="11">
      <c r="A11" t="inlineStr">
        <is>
          <t>H: Peralatan, Mesin &amp; Penyelenggaraan</t>
        </is>
      </c>
      <c r="B11" t="n">
        <v>10</v>
      </c>
      <c r="C11">
        <f>COUNTIFS('Senarai Semak'!$F$6:$F$245,"H",'Senarai Semak'!$D$6:$D$245,"Ya")</f>
        <v/>
      </c>
      <c r="D11">
        <f>COUNTIFS('Senarai Semak'!$F$6:$F$245,"H",'Senarai Semak'!$D$6:$D$245,"Tidak")</f>
        <v/>
      </c>
      <c r="E11">
        <f>COUNTIFS('Senarai Semak'!$F$6:$F$245,"H",'Senarai Semak'!$D$6:$D$245,"TB")</f>
        <v/>
      </c>
      <c r="F11">
        <f>B11-C11-D11-E11</f>
        <v/>
      </c>
      <c r="G11" s="10">
        <f>IF(C11+D11=0,"",C11/(C11+D11))</f>
        <v/>
      </c>
    </row>
    <row r="12">
      <c r="A12" t="inlineStr">
        <is>
          <t>I: Pembungkusan, Pelabelan, Logo Halal &amp; Sijil</t>
        </is>
      </c>
      <c r="B12" t="n">
        <v>18</v>
      </c>
      <c r="C12">
        <f>COUNTIFS('Senarai Semak'!$F$6:$F$245,"I",'Senarai Semak'!$D$6:$D$245,"Ya")</f>
        <v/>
      </c>
      <c r="D12">
        <f>COUNTIFS('Senarai Semak'!$F$6:$F$245,"I",'Senarai Semak'!$D$6:$D$245,"Tidak")</f>
        <v/>
      </c>
      <c r="E12">
        <f>COUNTIFS('Senarai Semak'!$F$6:$F$245,"I",'Senarai Semak'!$D$6:$D$245,"TB")</f>
        <v/>
      </c>
      <c r="F12">
        <f>B12-C12-D12-E12</f>
        <v/>
      </c>
      <c r="G12" s="10">
        <f>IF(C12+D12=0,"",C12/(C12+D12))</f>
        <v/>
      </c>
    </row>
    <row r="13">
      <c r="A13" t="inlineStr">
        <is>
          <t>J: Penyimpanan &amp; Pengangkutan</t>
        </is>
      </c>
      <c r="B13" t="n">
        <v>14</v>
      </c>
      <c r="C13">
        <f>COUNTIFS('Senarai Semak'!$F$6:$F$245,"J",'Senarai Semak'!$D$6:$D$245,"Ya")</f>
        <v/>
      </c>
      <c r="D13">
        <f>COUNTIFS('Senarai Semak'!$F$6:$F$245,"J",'Senarai Semak'!$D$6:$D$245,"Tidak")</f>
        <v/>
      </c>
      <c r="E13">
        <f>COUNTIFS('Senarai Semak'!$F$6:$F$245,"J",'Senarai Semak'!$D$6:$D$245,"TB")</f>
        <v/>
      </c>
      <c r="F13">
        <f>B13-C13-D13-E13</f>
        <v/>
      </c>
      <c r="G13" s="10">
        <f>IF(C13+D13=0,"",C13/(C13+D13))</f>
        <v/>
      </c>
    </row>
    <row r="14">
      <c r="A14" t="inlineStr">
        <is>
          <t>K: Kebersihan, Sanitasi &amp; Kawalan Perosak</t>
        </is>
      </c>
      <c r="B14" t="n">
        <v>8</v>
      </c>
      <c r="C14">
        <f>COUNTIFS('Senarai Semak'!$F$6:$F$245,"K",'Senarai Semak'!$D$6:$D$245,"Ya")</f>
        <v/>
      </c>
      <c r="D14">
        <f>COUNTIFS('Senarai Semak'!$F$6:$F$245,"K",'Senarai Semak'!$D$6:$D$245,"Tidak")</f>
        <v/>
      </c>
      <c r="E14">
        <f>COUNTIFS('Senarai Semak'!$F$6:$F$245,"K",'Senarai Semak'!$D$6:$D$245,"TB")</f>
        <v/>
      </c>
      <c r="F14">
        <f>B14-C14-D14-E14</f>
        <v/>
      </c>
      <c r="G14" s="10">
        <f>IF(C14+D14=0,"",C14/(C14+D14))</f>
        <v/>
      </c>
    </row>
    <row r="15">
      <c r="A15" t="inlineStr">
        <is>
          <t>L: Pekerja, Latihan &amp; Kemudahan</t>
        </is>
      </c>
      <c r="B15" t="n">
        <v>21</v>
      </c>
      <c r="C15">
        <f>COUNTIFS('Senarai Semak'!$F$6:$F$245,"L",'Senarai Semak'!$D$6:$D$245,"Ya")</f>
        <v/>
      </c>
      <c r="D15">
        <f>COUNTIFS('Senarai Semak'!$F$6:$F$245,"L",'Senarai Semak'!$D$6:$D$245,"Tidak")</f>
        <v/>
      </c>
      <c r="E15">
        <f>COUNTIFS('Senarai Semak'!$F$6:$F$245,"L",'Senarai Semak'!$D$6:$D$245,"TB")</f>
        <v/>
      </c>
      <c r="F15">
        <f>B15-C15-D15-E15</f>
        <v/>
      </c>
      <c r="G15" s="10">
        <f>IF(C15+D15=0,"",C15/(C15+D15))</f>
        <v/>
      </c>
    </row>
    <row r="16">
      <c r="A16" t="inlineStr">
        <is>
          <t>M: Dokumentasi, Rekod, Kebolehkesanan &amp; Aduan</t>
        </is>
      </c>
      <c r="B16" t="n">
        <v>8</v>
      </c>
      <c r="C16">
        <f>COUNTIFS('Senarai Semak'!$F$6:$F$245,"M",'Senarai Semak'!$D$6:$D$245,"Ya")</f>
        <v/>
      </c>
      <c r="D16">
        <f>COUNTIFS('Senarai Semak'!$F$6:$F$245,"M",'Senarai Semak'!$D$6:$D$245,"Tidak")</f>
        <v/>
      </c>
      <c r="E16">
        <f>COUNTIFS('Senarai Semak'!$F$6:$F$245,"M",'Senarai Semak'!$D$6:$D$245,"TB")</f>
        <v/>
      </c>
      <c r="F16">
        <f>B16-C16-D16-E16</f>
        <v/>
      </c>
      <c r="G16" s="10">
        <f>IF(C16+D16=0,"",C16/(C16+D16))</f>
        <v/>
      </c>
    </row>
    <row r="17">
      <c r="A17" s="11" t="inlineStr">
        <is>
          <t>Jumlah</t>
        </is>
      </c>
      <c r="B17" s="11">
        <f>SUM(B4:B16)</f>
        <v/>
      </c>
      <c r="C17" s="11">
        <f>SUM(C4:C16)</f>
        <v/>
      </c>
      <c r="D17" s="11">
        <f>SUM(D4:D16)</f>
        <v/>
      </c>
      <c r="E17" s="11">
        <f>SUM(E4:E16)</f>
        <v/>
      </c>
      <c r="F17" s="11">
        <f>SUM(F4:F16)</f>
        <v/>
      </c>
      <c r="G17" s="10">
        <f>IF(C17+D17=0,"",C17/(C17+D17))</f>
        <v/>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F21"/>
  <sheetViews>
    <sheetView workbookViewId="0">
      <selection activeCell="A1" sqref="A1"/>
    </sheetView>
  </sheetViews>
  <sheetFormatPr baseColWidth="8" defaultRowHeight="15"/>
  <cols>
    <col width="10" customWidth="1" min="1" max="1"/>
    <col width="50" customWidth="1" min="2" max="2"/>
    <col width="12" customWidth="1" min="3" max="3"/>
    <col width="44" customWidth="1" min="4" max="4"/>
    <col width="12" customWidth="1" min="5" max="5"/>
    <col width="16" customWidth="1" min="6" max="6"/>
  </cols>
  <sheetData>
    <row r="1">
      <c r="A1" s="8" t="inlineStr">
        <is>
          <t>Penemuan dan tindakan pembetulan</t>
        </is>
      </c>
    </row>
    <row r="3">
      <c r="A3" s="12" t="inlineStr">
        <is>
          <t>No item</t>
        </is>
      </c>
      <c r="B3" s="12" t="inlineStr">
        <is>
          <t>Penemuan</t>
        </is>
      </c>
      <c r="C3" s="12" t="inlineStr">
        <is>
          <t>Kategori</t>
        </is>
      </c>
      <c r="D3" s="12" t="inlineStr">
        <is>
          <t>Tindakan pembetulan</t>
        </is>
      </c>
      <c r="E3" s="12" t="inlineStr">
        <is>
          <t>Tarikh siap</t>
        </is>
      </c>
      <c r="F3" s="12" t="inlineStr">
        <is>
          <t>PIC</t>
        </is>
      </c>
    </row>
    <row r="4" ht="30" customHeight="1">
      <c r="A4" s="13" t="n"/>
      <c r="B4" s="13" t="n"/>
      <c r="C4" s="13" t="n"/>
      <c r="D4" s="13" t="n"/>
      <c r="E4" s="13" t="n"/>
      <c r="F4" s="13" t="n"/>
    </row>
    <row r="5" ht="30" customHeight="1">
      <c r="A5" s="13" t="n"/>
      <c r="B5" s="13" t="n"/>
      <c r="C5" s="13" t="n"/>
      <c r="D5" s="13" t="n"/>
      <c r="E5" s="13" t="n"/>
      <c r="F5" s="13" t="n"/>
    </row>
    <row r="6" ht="30" customHeight="1">
      <c r="A6" s="13" t="n"/>
      <c r="B6" s="13" t="n"/>
      <c r="C6" s="13" t="n"/>
      <c r="D6" s="13" t="n"/>
      <c r="E6" s="13" t="n"/>
      <c r="F6" s="13" t="n"/>
    </row>
    <row r="7" ht="30" customHeight="1">
      <c r="A7" s="13" t="n"/>
      <c r="B7" s="13" t="n"/>
      <c r="C7" s="13" t="n"/>
      <c r="D7" s="13" t="n"/>
      <c r="E7" s="13" t="n"/>
      <c r="F7" s="13" t="n"/>
    </row>
    <row r="8" ht="30" customHeight="1">
      <c r="A8" s="13" t="n"/>
      <c r="B8" s="13" t="n"/>
      <c r="C8" s="13" t="n"/>
      <c r="D8" s="13" t="n"/>
      <c r="E8" s="13" t="n"/>
      <c r="F8" s="13" t="n"/>
    </row>
    <row r="9" ht="30" customHeight="1">
      <c r="A9" s="13" t="n"/>
      <c r="B9" s="13" t="n"/>
      <c r="C9" s="13" t="n"/>
      <c r="D9" s="13" t="n"/>
      <c r="E9" s="13" t="n"/>
      <c r="F9" s="13" t="n"/>
    </row>
    <row r="10" ht="30" customHeight="1">
      <c r="A10" s="13" t="n"/>
      <c r="B10" s="13" t="n"/>
      <c r="C10" s="13" t="n"/>
      <c r="D10" s="13" t="n"/>
      <c r="E10" s="13" t="n"/>
      <c r="F10" s="13" t="n"/>
    </row>
    <row r="11" ht="30" customHeight="1">
      <c r="A11" s="13" t="n"/>
      <c r="B11" s="13" t="n"/>
      <c r="C11" s="13" t="n"/>
      <c r="D11" s="13" t="n"/>
      <c r="E11" s="13" t="n"/>
      <c r="F11" s="13" t="n"/>
    </row>
    <row r="12" ht="30" customHeight="1">
      <c r="A12" s="13" t="n"/>
      <c r="B12" s="13" t="n"/>
      <c r="C12" s="13" t="n"/>
      <c r="D12" s="13" t="n"/>
      <c r="E12" s="13" t="n"/>
      <c r="F12" s="13" t="n"/>
    </row>
    <row r="13" ht="30" customHeight="1">
      <c r="A13" s="13" t="n"/>
      <c r="B13" s="13" t="n"/>
      <c r="C13" s="13" t="n"/>
      <c r="D13" s="13" t="n"/>
      <c r="E13" s="13" t="n"/>
      <c r="F13" s="13" t="n"/>
    </row>
    <row r="14" ht="30" customHeight="1">
      <c r="A14" s="13" t="n"/>
      <c r="B14" s="13" t="n"/>
      <c r="C14" s="13" t="n"/>
      <c r="D14" s="13" t="n"/>
      <c r="E14" s="13" t="n"/>
      <c r="F14" s="13" t="n"/>
    </row>
    <row r="15" ht="30" customHeight="1">
      <c r="A15" s="13" t="n"/>
      <c r="B15" s="13" t="n"/>
      <c r="C15" s="13" t="n"/>
      <c r="D15" s="13" t="n"/>
      <c r="E15" s="13" t="n"/>
      <c r="F15" s="13" t="n"/>
    </row>
    <row r="16" ht="30" customHeight="1">
      <c r="A16" s="13" t="n"/>
      <c r="B16" s="13" t="n"/>
      <c r="C16" s="13" t="n"/>
      <c r="D16" s="13" t="n"/>
      <c r="E16" s="13" t="n"/>
      <c r="F16" s="13" t="n"/>
    </row>
    <row r="17" ht="30" customHeight="1">
      <c r="A17" s="13" t="n"/>
      <c r="B17" s="13" t="n"/>
      <c r="C17" s="13" t="n"/>
      <c r="D17" s="13" t="n"/>
      <c r="E17" s="13" t="n"/>
      <c r="F17" s="13" t="n"/>
    </row>
    <row r="18" ht="30" customHeight="1">
      <c r="A18" s="13" t="n"/>
      <c r="B18" s="13" t="n"/>
      <c r="C18" s="13" t="n"/>
      <c r="D18" s="13" t="n"/>
      <c r="E18" s="13" t="n"/>
      <c r="F18" s="13" t="n"/>
    </row>
    <row r="21">
      <c r="A21" t="inlineStr">
        <is>
          <t>Tandatangan juruaudit: ____________________     Wakil syarikat: ____________________     Pengurusan atasan: ____________________</t>
        </is>
      </c>
    </row>
  </sheetData>
  <dataValidations count="1">
    <dataValidation sqref="C4:C200" showDropDown="0" showInputMessage="0" showErrorMessage="0" allowBlank="1" type="list">
      <formula1>"Kritikal,Major,Minor"</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D18"/>
  <sheetViews>
    <sheetView workbookViewId="0">
      <selection activeCell="A1" sqref="A1"/>
    </sheetView>
  </sheetViews>
  <sheetFormatPr baseColWidth="8" defaultRowHeight="15"/>
  <cols>
    <col width="22" customWidth="1" min="1" max="1"/>
    <col width="50" customWidth="1" min="2" max="2"/>
    <col width="60" customWidth="1" min="3" max="3"/>
    <col width="40" customWidth="1" min="4" max="4"/>
  </cols>
  <sheetData>
    <row r="1">
      <c r="A1" s="9" t="inlineStr">
        <is>
          <t>Rujukan</t>
        </is>
      </c>
      <c r="B1" s="9" t="inlineStr">
        <is>
          <t>Dokumen penuh</t>
        </is>
      </c>
      <c r="C1" s="9" t="inlineStr">
        <is>
          <t>Cara disemak</t>
        </is>
      </c>
      <c r="D1" s="9" t="inlineStr">
        <is>
          <t>Pautan</t>
        </is>
      </c>
    </row>
    <row r="2">
      <c r="A2" s="14" t="inlineStr">
        <is>
          <t>MPPHM</t>
        </is>
      </c>
      <c r="B2" s="14" t="inlineStr">
        <is>
          <t>Manual Prosedur Pensijilan Halal Malaysia (Domestik) 2020 (JAKIM/JAIN/MAIN)</t>
        </is>
      </c>
      <c r="C2" s="14" t="inlineStr">
        <is>
          <t>Teks penuh dibaca bagi s. 3, 4, 5, 6, s. 8 Jadual 1 (Bahagian Fi: kategori industri mengikut nilai perolehan tahunan), s. 17 dan s. 18(5)(a)-(c). S. 18(5) dipetik hampir verbatim. Bagi s. 19, 20, 30, 34-36 dan 40-41, hanya tajuk dalam jadual kandungan disemak kerana teks badan selepas s. 18 tiada dalam salinan yang boleh diekstrak.</t>
        </is>
      </c>
      <c r="D2" s="14" t="inlineStr">
        <is>
          <t>https://jaips.perlis.gov.my/phocadownload/MPPHM%20Domestik%202020%20JAKIM-JAIN.pdf</t>
        </is>
      </c>
    </row>
    <row r="3">
      <c r="A3" s="14" t="inlineStr">
        <is>
          <t>MPPHM Pindaan</t>
        </is>
      </c>
      <c r="B3" s="14" t="inlineStr">
        <is>
          <t>Manual Prosedur Pensijilan Halal Malaysia (Domestik) 2020 Pindaan, diperkenalkan melalui Pekeliling Pensijilan Halal Malaysia Bil. 1 Tahun 2026 (16/02/2026)</t>
        </is>
      </c>
      <c r="C3" s="14" t="inlineStr">
        <is>
          <t>Sumber kedua: ringkasan perbezaan oleh Uniti Halal Centre. PDF pekeliling rasmi (https://www.halal.gov.my/pdf/pekeliling/PPSHMBIL1-2026.pdf) ialah imej imbasan tanpa teks, jadi tidak dapat dibaca. Dipetik hanya bagi 17(6)(i) (bahasa label pasaran domestik dan label produk eksport), 17(12), 17(14)(e)-(f), 18(5) (keperluan MS 2738:2023; ringkasan tidak memberi huruf subperenggan), 36(6) dan 55 (sampel pensijilan dianalisis di MyHAC atau Jabatan Kimia Malaysia; sampel lain boleh dihantar ke makmal ISO/IEC 17025).</t>
        </is>
      </c>
      <c r="D3" s="14" t="inlineStr">
        <is>
          <t>https://unitihalalcentre.com/perbezaan-manual-prosedur-pensijilan-halal-malaysia-domestik-2020-pindaan-mpphm-domestik-2020-pindaan/</t>
        </is>
      </c>
    </row>
    <row r="4">
      <c r="A4" s="14" t="inlineStr">
        <is>
          <t>MHMS</t>
        </is>
      </c>
      <c r="B4" s="14" t="inlineStr">
        <is>
          <t>Sistem Pengurusan Halal Malaysia (Malaysian Halal Management System) 2020</t>
        </is>
      </c>
      <c r="C4" s="14" t="inlineStr">
        <is>
          <t>Pautan rasmi dialihkan ke halaman utama, jadi teks dibaca daripada salinan dokumen rasmi JAKIM di laman pihak ketiga (serunai.com). Jadual kandungan, 5(1)-5(13), 6, 7(1) dan 8 diringkaskan butir demi butir. Rujukan mengikut penomboran bercetak pada peringkat elemen, dan 7(1)(a)-(b) pada peringkat butir.</t>
        </is>
      </c>
      <c r="D4" s="14" t="inlineStr">
        <is>
          <t>https://myehalal.halal.gov.my/portal-halal/v1/pdf/panduan/MHMS2020.pdf</t>
        </is>
      </c>
    </row>
    <row r="5">
      <c r="A5" s="14" t="inlineStr">
        <is>
          <t>MS 2738</t>
        </is>
      </c>
      <c r="B5" s="14" t="inlineStr">
        <is>
          <t>MS 2738:2023 Halal consumable goods - General requirements</t>
        </is>
      </c>
      <c r="C5" s="14" t="inlineStr">
        <is>
          <t>Pratonton rasmi MySOL: hanya jadual kandungan (kl. 1-7, 4.1-4.7, Lampiran A, Bibliografi) dan Prakata (NSC 09/TC 4/WG 1) boleh dibaca. Isi klausa tidak dibaca, jadi setiap rujukan bertanda *. MySOL menyenaraikan MS 2565:2014 dan MS 2594:2015 sebagai 'Withdrawal with replacement', dan MS 2738:2023 ialah penggantinya.</t>
        </is>
      </c>
      <c r="D5" s="14" t="inlineStr">
        <is>
          <t>https://mysol.jsm.gov.my/preview-file/eyJpdiI6ImNXL3RDVThOM3NaYlQ5Wm9WR3k5L0E9PSIsInZhbHVlIjoiRWV2cXZrdE96Q21iQjVmUk5VT2IyZz09IiwibWFjIjoiY2YyM2VkOTFkYmI3MTMwMGQ3ZmU2YTk1NmQ1ZTgxMWFiYjlmYWU1YzRkZTA4NTYzMTIzNGI2ODFkNjRhNGU1ZCJ9</t>
        </is>
      </c>
    </row>
    <row r="6">
      <c r="A6" s="14" t="inlineStr">
        <is>
          <t>MS 2803</t>
        </is>
      </c>
      <c r="B6" s="14" t="inlineStr">
        <is>
          <t>MS 2803:2025 Usage of animal bone, skin and hair - General requirements for halal products</t>
        </is>
      </c>
      <c r="C6" s="14" t="inlineStr">
        <is>
          <t>Pratonton rasmi MySOL: hanya senarai wakil jawatankuasa dan Prakata boleh dibaca. Prakata menyatakan MS 2803 membatalkan dan menggantikan MS 2200-2:2013, dan keperluan produk dipindahkan ke MS 2738. Jadual kandungan tidak dapat dibaca (pratonton tamat masa atau tidak memaparkannya), jadi standard ini dirujuk tanpa nombor klausa. Pengumuman JSM MS Bil. 3/2025 menyenaraikannya sebagai 'Ulangkaji'.</t>
        </is>
      </c>
      <c r="D6" s="14" t="inlineStr">
        <is>
          <t>https://mysol.jsm.gov.my/preview-file/eyJpdiI6ImdZbHJ4bjlLUU5nNzZmYmRpVVBmdXc9PSIsInZhbHVlIjoiL0N2SmJzVnpEcThFR01rbkRUb0Y0Zz09IiwibWFjIjoiZDQwZGI5MzJkNjkzYWJmYmY3MzQ0MGQ4MmYzN2Y3ZTgzOGVjMWYxZGQyNGI4MGJlYmYwZTkyNDRkMWEzNzE2MyJ9</t>
        </is>
      </c>
    </row>
    <row r="7">
      <c r="A7" s="14" t="inlineStr">
        <is>
          <t>MS 2200-2</t>
        </is>
      </c>
      <c r="B7" s="14" t="inlineStr">
        <is>
          <t>MS 2200-2:2013 Islamic consumer goods - Part 2: Usage of animal bone, skin and hair - General guidelines (versi BM: MS 2200-2:2012 Barang Gunaan Islam - Bahagian 2)</t>
        </is>
      </c>
      <c r="C7" s="14" t="inlineStr">
        <is>
          <t>Pratonton rasmi MySOL: jadual kandungan sahaja, iaitu kl. 1-7, Lampiran A 'Tanning process of animal skin' (BM: 'Kaedah dibagh atau samak kulit binatang'), Lampiran B (sertu) dan Rajah 1 (carta proses dibagh). Standard ini dibatalkan oleh MS 2803:2025 tetapi masih dinamakan dalam MPPHM 2020, jadi ia dirujuk dengan tanda * bagi Lampiran A sahaja.</t>
        </is>
      </c>
      <c r="D7" s="14" t="inlineStr">
        <is>
          <t>https://mysol.jsm.gov.my/preview-file/eyJpdiI6IlVOT3N6WnYveHFkK2x6aWdzU3ByL2c9PSIsInZhbHVlIjoiTXpCeFZPTzJsVHc4RWRNYkp4TFVtdz09IiwibWFjIjoiMzUxZDM0MTlmYjE1NzMzY2VjZGM3ZTBmY2ZmMmIwMjI5NmFhODg2NTJhMWYwMWI4NGFmY2NhNzNlMGFkZTY2OSJ9</t>
        </is>
      </c>
    </row>
    <row r="8">
      <c r="A8" s="14" t="inlineStr">
        <is>
          <t>MS 2810</t>
        </is>
      </c>
      <c r="B8" s="14" t="inlineStr">
        <is>
          <t>MS 2810:2025 Consumable goods - Test method - Identification of pig skin and hair</t>
        </is>
      </c>
      <c r="C8" s="14" t="inlineStr">
        <is>
          <t>Rekod katalog MySOL dan pengumuman JSM MS Bil. 3/2025 (Baharu) sahaja. Skopnya merangkumi kulit mentah, kulit, barang kulit, berus, bulu lepas dan bulu haiwan, tetapi tidak merangkumi kulit dan bulu yang diproses secara intensif. Dirujuk tanpa nombor klausa.</t>
        </is>
      </c>
      <c r="D8" s="14" t="inlineStr">
        <is>
          <t>https://mysol.jsm.gov.my/search-catalogue?keyword=2810</t>
        </is>
      </c>
    </row>
    <row r="9">
      <c r="A9" s="14" t="inlineStr">
        <is>
          <t>APD 2011</t>
        </is>
      </c>
      <c r="B9" s="14" t="inlineStr">
        <is>
          <t>Akta Perihal Dagangan 2011 (Akta 730)</t>
        </is>
      </c>
      <c r="C9" s="14" t="inlineStr">
        <is>
          <t>Senarai seksyen dan ringkasan dibaca (mylaw.my): s. 5 (larangan perihal dagangan palsu), s. 28 (perintah takrif) dan s. 29 (perintah penandaan bermaklumat dan perakuan).</t>
        </is>
      </c>
      <c r="D9" s="14" t="inlineStr">
        <is>
          <t>https://mylaw.my/legislation/akta-perihal-dagangan-2011</t>
        </is>
      </c>
    </row>
    <row r="10">
      <c r="A10" s="14" t="inlineStr">
        <is>
          <t>Perintah Takrif Halal 2011</t>
        </is>
      </c>
      <c r="B10" s="14" t="inlineStr">
        <is>
          <t>Perintah Perihal Dagangan (Takrif Halal) 2011 (P.U.(A) 430/2011)</t>
        </is>
      </c>
      <c r="C10" s="14" t="inlineStr">
        <is>
          <t>Teks perenggan 3(1)(a)-(g) dibaca (mylaw.my). Perenggan 3(1) terpakai kepada 'makanan atau barang-barang'. Perenggan 3(1)(g) dan perenggan 4 hanya menyebut makanan, jadi kedua-duanya tidak dipetik.</t>
        </is>
      </c>
      <c r="D10" s="14" t="inlineStr">
        <is>
          <t>https://mylaw.my/legislation/perintah-perihal-dagangan-takrif-halal-2011</t>
        </is>
      </c>
    </row>
    <row r="11">
      <c r="A11" s="14" t="inlineStr">
        <is>
          <t>Perintah Perakuan &amp; Penandaan Halal 2011</t>
        </is>
      </c>
      <c r="B11" s="14" t="inlineStr">
        <is>
          <t>Perintah Perihal Dagangan (Perakuan dan Penandaan Halal) 2011 (P.U.(A) 431/2011)</t>
        </is>
      </c>
      <c r="C11" s="14" t="inlineStr">
        <is>
          <t>Ringkasan teks dibaca (mylaw.my dan ChemLinked): perenggan 3 (pihak berkuasa berwibawa), 4(1) (makanan dan barang-barang hanya boleh diperihalkan sebagai halal jika diperakui dan ditanda dengan logo), 5 (barang import dan badan pensijilan halal luar negara yang diiktiraf) dan 6 (cara penandaan).</t>
        </is>
      </c>
      <c r="D11" s="14" t="inlineStr">
        <is>
          <t>https://mylaw.my/legislation/perintah-perihal-dagangan-perakuan-dan-penandaan-halal-2011</t>
        </is>
      </c>
    </row>
    <row r="12">
      <c r="A12" s="14" t="inlineStr">
        <is>
          <t>Perintah Barang Babi/Anjing 2013</t>
        </is>
      </c>
      <c r="B12" s="14" t="inlineStr">
        <is>
          <t>Perintah Perihal Dagangan (Barang-Barang Diperbuat Daripada Mana-Mana Bahagian Babi atau Anjing) 2013 (P.U.(A) 382/2013)</t>
        </is>
      </c>
      <c r="C12" s="14" t="inlineStr">
        <is>
          <t>Teks dibaca (mylaw.my dan salinan warta). Perintah ini dibuat di bawah APD 2011 s. 29(1)(c) dan berkuat kuasa 1 Februari 2014. Perenggan 2: tidak terpakai kepada makanan, termasuk makanan haiwan. Perenggan 4: barang dipamer berasingan dan dilabel 'Diperbuat Daripada Babi' atau 'Diperbuat Daripada Anjing' dalam bahasa kebangsaan, dengan huruf sekurang-kurangnya 10 mm.</t>
        </is>
      </c>
      <c r="D12" s="14" t="inlineStr">
        <is>
          <t>https://mylaw.my/legislation/perintah-perihal-dagangan-barang-barang-diperbuat-daripada-mana-mana-bahagian-babi-atau-anjing-2013</t>
        </is>
      </c>
    </row>
    <row r="13">
      <c r="A13" s="14" t="inlineStr">
        <is>
          <t>APP 1999</t>
        </is>
      </c>
      <c r="B13" s="14" t="inlineStr">
        <is>
          <t>Akta Perlindungan Pengguna 1999 (Akta 599)</t>
        </is>
      </c>
      <c r="C13" s="14" t="inlineStr">
        <is>
          <t>Senarai seksyen dibaca (lawyerment.com): s. 10 (representasi palsu atau mengelirukan), s. 19 dan 20 (standard keselamatan dan pematuhannya) dan s. 21 (keperluan keselamatan am bagi barang).</t>
        </is>
      </c>
      <c r="D13" s="14" t="inlineStr">
        <is>
          <t>https://www.lawyerment.com/library/legislation/acts/1999/599/</t>
        </is>
      </c>
    </row>
    <row r="14">
      <c r="A14" s="14" t="inlineStr">
        <is>
          <t>Akta Penyelarasan Perindustrian 1975</t>
        </is>
      </c>
      <c r="B14" s="14" t="inlineStr">
        <is>
          <t>Akta Penyelarasan Perindustrian 1975 (Akta 156)</t>
        </is>
      </c>
      <c r="C14" s="14" t="inlineStr">
        <is>
          <t>Sumber kedua (laman MIDA): lesen pengilangan diperlukan apabila dana pemegang saham RM2.5 juta ke atas atau pekerja sepenuh masa 75 orang ke atas. Dirujuk tanpa nombor seksyen.</t>
        </is>
      </c>
      <c r="D14" s="14" t="inlineStr">
        <is>
          <t>https://www.mida.gov.my/setting-up-content/approvals-and-licensing/</t>
        </is>
      </c>
    </row>
    <row r="15">
      <c r="A15" s="14" t="inlineStr">
        <is>
          <t>Peraturan CLASS 2013</t>
        </is>
      </c>
      <c r="B15" s="14" t="inlineStr">
        <is>
          <t>Peraturan-Peraturan Keselamatan dan Kesihatan Pekerjaan (Pengelasan, Pelabelan dan Helaian Data Keselamatan Bahan Kimia Berbahaya) 2013 (P.U.(A) 310/2013)</t>
        </is>
      </c>
      <c r="C15" s="14" t="inlineStr">
        <is>
          <t>Tajuk dan nombor warta disahkan (laman JKKP). Dirujuk tanpa nombor peraturan, hanya kerana SDS ialah dokumen komposisi bahan.</t>
        </is>
      </c>
      <c r="D15" s="14" t="inlineStr">
        <is>
          <t>https://www.dosh.gov.my/index.php/ms/osh-info-2/chemical-issues-sp-265/994-vm-peraturan-peraturan-keselamatan-dan-kesihatan-pekerjaan-pengelasan-pelabelan-dan-helaian-data-keselamatan-bahan-kimia-berbahaya-2013-p-u-a-310-2013a</t>
        </is>
      </c>
    </row>
    <row r="16">
      <c r="A16" s="14" t="inlineStr">
        <is>
          <t>PM 1985</t>
        </is>
      </c>
      <c r="B16" s="14" t="inlineStr">
        <is>
          <t>Peraturan-Peraturan Makanan 1985 (P.U.(A) 437/1985)</t>
        </is>
      </c>
      <c r="C16" s="14" t="inlineStr">
        <is>
          <t>Teks per. 27 dibaca (salinan disatukan foodipedia dan teks FAOLEX mal27305). Per. 27 ialah satu perenggan tanpa subperaturan. Ia melarang mengimport, mengilang, menjual atau menggunakan bungkusan, perkakas, bekas atau wadah yang boleh memindahkan bahan toksik, memudaratkan atau mencemar kepada makanan, atau yang menyumbang kepada kemerosotan makanan. Dipetik hanya bagi bahan pembungkusan untuk sentuhan makanan.</t>
        </is>
      </c>
      <c r="D16" s="14" t="inlineStr">
        <is>
          <t>https://www.foodipedia.my/food-regulations-1985.pdf</t>
        </is>
      </c>
    </row>
    <row r="17">
      <c r="A17" s="14" t="inlineStr">
        <is>
          <t>Fatwa Bone China 2012</t>
        </is>
      </c>
      <c r="B17" s="14" t="inlineStr">
        <is>
          <t>Keputusan Muzakarah Jawatankuasa Fatwa MKI kali ke-99 (4-6 Mei 2012) tentang penggunaan peralatan dan perhiasan bone china</t>
        </is>
      </c>
      <c r="C17" s="14" t="inlineStr">
        <is>
          <t>Sumber kedua: Pejabat Mufti Wilayah Persekutuan (Al-Kafi li al-Fatawi, Soalan 388) memetik keputusan ini. Bone china daripada abu tulang haiwan yang halal dimakan dan disembelih menurut Hukum Syarak diharuskan, manakala bone china daripada haiwan yang tidak halal tidak diharuskan.</t>
        </is>
      </c>
      <c r="D17" s="14" t="inlineStr">
        <is>
          <t>https://muftiwp.gov.my/en/artikel/al-kafi-li-al-fatawi/1372-al-kafi-li-al-fatawi-soalan-388-hukum-penggunaan-pinggan-mangkuk-buatan-bone-china</t>
        </is>
      </c>
    </row>
    <row r="18">
      <c r="A18" s="14" t="inlineStr">
        <is>
          <t>Fatwa Alkohol 2011</t>
        </is>
      </c>
      <c r="B18" s="14" t="inlineStr">
        <is>
          <t>Keputusan Muzakarah Khas Jawatankuasa Fatwa MKI (14-16 Julai 2011) tentang alkohol dalam makanan, minuman, pewangi dan ubat-ubatan</t>
        </is>
      </c>
      <c r="C18" s="14" t="inlineStr">
        <is>
          <t>Sumber kedua: laman e-Musykil Jabatan Mufti Negeri Selangor memetik keputusan ini. Pewangi dan ubat yang mengandungi alkohol sebagai pelarut tidak najis dan diharuskan jika alkohol itu bukan diambil melalui proses pembuatan arak.</t>
        </is>
      </c>
      <c r="D18" s="14" t="inlineStr">
        <is>
          <t>https://emusykil.muftiselangor.gov.my/index.php/site/jawapan?id=1784</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2026-10-06T15:35:58Z</dcterms:created>
  <dcterms:modified xmlns:dcterms="http://purl.org/dc/terms/" xmlns:xsi="http://www.w3.org/2001/XMLSchema-instance" xsi:type="dcterms:W3CDTF">2026-10-06T15:35:58Z</dcterms:modified>
</cp:coreProperties>
</file>