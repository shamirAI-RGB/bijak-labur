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5"/>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Peranti Perubatan</t>
        </is>
      </c>
    </row>
    <row r="2">
      <c r="A2" t="inlineStr">
        <is>
          <t>Premis/syarikat: ______________________________   Jenis peranti / kelas MDA: __________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MDA &amp; Skop Permohonan</t>
        </is>
      </c>
      <c r="B6" s="5" t="n"/>
      <c r="C6" s="5" t="n"/>
      <c r="D6" s="5" t="n"/>
      <c r="E6" s="6" t="n"/>
    </row>
    <row r="7" ht="26" customHeight="1">
      <c r="A7" s="2" t="inlineStr">
        <is>
          <t>Semak dokumen pendaftaran syarikat, Lesen Establismen dan sijil pendaftaran MDA serta senarai produk dalam MYeHALAL, kemudian padankan dengan peranti yang sebenarnya dikeluarkan di kilang.</t>
        </is>
      </c>
    </row>
    <row r="8">
      <c r="A8" s="7" t="inlineStr">
        <is>
          <t>A1</t>
        </is>
      </c>
      <c r="B8" s="7" t="inlineStr">
        <is>
          <t>Perakuan pendaftaran perniagaan daripada SSM (atau dokumen penubuhan lain yang berkaitan) masih sah, dan nama serta alamat syarikat sama dengan permohonan SPHM.</t>
        </is>
      </c>
      <c r="C8" s="7" t="inlineStr">
        <is>
          <t>MPPHM 5(1)</t>
        </is>
      </c>
      <c r="D8" s="7" t="inlineStr"/>
      <c r="E8" s="7" t="inlineStr"/>
      <c r="F8" t="inlineStr">
        <is>
          <t>A</t>
        </is>
      </c>
    </row>
    <row r="9">
      <c r="A9" s="7" t="inlineStr">
        <is>
          <t>A2</t>
        </is>
      </c>
      <c r="B9" s="7" t="inlineStr">
        <is>
          <t>Lesen atau kelulusan PBT bagi premis kilang (atau surat pengesahan daripada agensi Kerajaan) masih sah dan sepadan dengan alamat premis yang diaudit.</t>
        </is>
      </c>
      <c r="C9" s="7" t="inlineStr">
        <is>
          <t>MPPHM 5(2)</t>
        </is>
      </c>
      <c r="D9" s="7" t="inlineStr"/>
      <c r="E9" s="7" t="inlineStr"/>
      <c r="F9" t="inlineStr">
        <is>
          <t>A</t>
        </is>
      </c>
    </row>
    <row r="10">
      <c r="A10" s="7" t="inlineStr">
        <is>
          <t>A3</t>
        </is>
      </c>
      <c r="B10" s="7" t="inlineStr">
        <is>
          <t>Lesen Establismen daripada MDA bagi peranan pengilang masih sah, dan nama serta alamat premis pada lesen sama dengan premis yang dipohon.</t>
        </is>
      </c>
      <c r="C10" s="7" t="inlineStr">
        <is>
          <t>MPPHM 5(6); Akta 737 s. 15; Pengumuman JAKIM 2022</t>
        </is>
      </c>
      <c r="D10" s="7" t="inlineStr"/>
      <c r="E10" s="7" t="inlineStr"/>
      <c r="F10" t="inlineStr">
        <is>
          <t>A</t>
        </is>
      </c>
    </row>
    <row r="11">
      <c r="A11" s="7" t="inlineStr">
        <is>
          <t>A4</t>
        </is>
      </c>
      <c r="B11" s="7" t="inlineStr">
        <is>
          <t>Syarat Lesen Establismen dipatuhi, lesen tidak digantung atau dibatalkan, dan pembaharuannya dimohon dalam tempoh yang ditetapkan sebelum tamat.</t>
        </is>
      </c>
      <c r="C11" s="7" t="inlineStr">
        <is>
          <t>Akta 737 s. 19, 22, 24</t>
        </is>
      </c>
      <c r="D11" s="7" t="inlineStr"/>
      <c r="E11" s="7" t="inlineStr"/>
      <c r="F11" t="inlineStr">
        <is>
          <t>A</t>
        </is>
      </c>
    </row>
    <row r="12">
      <c r="A12" s="7" t="inlineStr">
        <is>
          <t>A5</t>
        </is>
      </c>
      <c r="B12" s="7" t="inlineStr">
        <is>
          <t>Setiap peranti yang dipohon mempunyai Sijil Pendaftaran Peranti Perubatan daripada MDA yang masih sah, atau surat pengecualian keperluan pendaftaran daripada MDA.</t>
        </is>
      </c>
      <c r="C12" s="7" t="inlineStr">
        <is>
          <t>MPPHM 3 (tafsiran skim produk peranti perubatan), 18(9); Akta 737 s. 5, 77; Pengumuman JAKIM 2022; MS 2636 Pengenalan</t>
        </is>
      </c>
      <c r="D12" s="7" t="inlineStr"/>
      <c r="E12" s="7" t="inlineStr"/>
      <c r="F12" t="inlineStr">
        <is>
          <t>A</t>
        </is>
      </c>
    </row>
    <row r="13">
      <c r="A13" s="7" t="inlineStr">
        <is>
          <t>A6</t>
        </is>
      </c>
      <c r="B13" s="7" t="inlineStr">
        <is>
          <t>Nama, model atau varian dan nombor pendaftaran MDA bagi setiap peranti dalam permohonan MYeHALAL sepadan dengan sijil pendaftaran MDA atau surat pengecualian.</t>
        </is>
      </c>
      <c r="C13" s="7" t="inlineStr">
        <is>
          <t>MPPHM 18(9); Akta 737 s. 7</t>
        </is>
      </c>
      <c r="D13" s="7" t="inlineStr"/>
      <c r="E13" s="7" t="inlineStr"/>
      <c r="F13" t="inlineStr">
        <is>
          <t>A</t>
        </is>
      </c>
    </row>
    <row r="14">
      <c r="A14" s="7" t="inlineStr">
        <is>
          <t>A7</t>
        </is>
      </c>
      <c r="B14" s="7" t="inlineStr">
        <is>
          <t>Produk yang dipohon ialah peranti perubatan menurut takrif Akta 737 (tindakan utama yang dimaksudkan tidak dicapai secara farmakologi, imunologi atau metabolik) dan dikawal oleh MDA. Produk kombinasi yang dikawal sebagai ubat tidak dipohon di bawah skim ini.</t>
        </is>
      </c>
      <c r="C14" s="7" t="inlineStr">
        <is>
          <t>Akta 737 s. 2; MPPHM 3 (tafsiran skim produk peranti perubatan)</t>
        </is>
      </c>
      <c r="D14" s="7" t="inlineStr"/>
      <c r="E14" s="7" t="inlineStr"/>
      <c r="F14" t="inlineStr">
        <is>
          <t>A</t>
        </is>
      </c>
    </row>
    <row r="15">
      <c r="A15" s="7" t="inlineStr">
        <is>
          <t>A8</t>
        </is>
      </c>
      <c r="B15" s="7" t="inlineStr">
        <is>
          <t>Setiap peranti memenuhi kriteria kelayakan skim: (a) wujud keraguan bahawa sumber bahan atau ramuannya mungkin halal atau tidak halal; (b) tergolong dalam produk bertujuan serupa (formulasi cecair, produk graf, implan atau prostesis, jika berkaitan); (c) tidak mengelirukan jika disijilkan; dan (d) diluluskan pihak berkuasa berwibawa.</t>
        </is>
      </c>
      <c r="C15" s="7" t="inlineStr">
        <is>
          <t>Pengumuman JAKIM 2022; MPPHM 6(13)</t>
        </is>
      </c>
      <c r="D15" s="7" t="inlineStr"/>
      <c r="E15" s="7" t="inlineStr"/>
      <c r="F15" t="inlineStr">
        <is>
          <t>A</t>
        </is>
      </c>
    </row>
    <row r="16">
      <c r="A16" s="7" t="inlineStr">
        <is>
          <t>A9</t>
        </is>
      </c>
      <c r="B16" s="7" t="inlineStr">
        <is>
          <t>Premis telah beroperasi sepenuhnya sekurang-kurangnya 3 bulan sebelum memohon (pemohon baharu), atau sekurang-kurangnya 1 bulan di premis baharu (syarikat yang berpindah lokasi).</t>
        </is>
      </c>
      <c r="C16" s="7" t="inlineStr">
        <is>
          <t>MPPHM 5(7), 5(8)</t>
        </is>
      </c>
      <c r="D16" s="7" t="inlineStr"/>
      <c r="E16" s="7" t="inlineStr"/>
      <c r="F16" t="inlineStr">
        <is>
          <t>A</t>
        </is>
      </c>
    </row>
    <row r="17">
      <c r="A17" s="7" t="inlineStr">
        <is>
          <t>A10</t>
        </is>
      </c>
      <c r="B17" s="7" t="inlineStr">
        <is>
          <t>Syarikat hanya mengeluarkan dan mengendalikan produk halal, termasuk produk dagangan (cth. peranti import yang diedarkan). Tiada peranti atau bahan tidak halal dikeluarkan atau diedarkan serentak.</t>
        </is>
      </c>
      <c r="C17" s="7" t="inlineStr">
        <is>
          <t>MPPHM 5(9), 6(1), 6(2)</t>
        </is>
      </c>
      <c r="D17" s="7" t="inlineStr"/>
      <c r="E17" s="7" t="inlineStr"/>
      <c r="F17" t="inlineStr">
        <is>
          <t>A</t>
        </is>
      </c>
    </row>
    <row r="18">
      <c r="A18" s="7" t="inlineStr">
        <is>
          <t>A11</t>
        </is>
      </c>
      <c r="B18" s="7" t="inlineStr">
        <is>
          <t>Jenama yang sama tidak digunakan bagi produk halal dan produk tidak halal.</t>
        </is>
      </c>
      <c r="C18" s="7" t="inlineStr">
        <is>
          <t>MPPHM 6(3)</t>
        </is>
      </c>
      <c r="D18" s="7" t="inlineStr"/>
      <c r="E18" s="7" t="inlineStr"/>
      <c r="F18" t="inlineStr">
        <is>
          <t>A</t>
        </is>
      </c>
    </row>
    <row r="19">
      <c r="A19" s="7" t="inlineStr">
        <is>
          <t>A12</t>
        </is>
      </c>
      <c r="B19" s="7" t="inlineStr">
        <is>
          <t>Semua jenis peranti yang masih dikeluarkan di premis telah dipohon SPHM, tanpa produk yang tertinggal.</t>
        </is>
      </c>
      <c r="C19" s="7" t="inlineStr">
        <is>
          <t>MPPHM 5(10), 17(2)(b)</t>
        </is>
      </c>
      <c r="D19" s="7" t="inlineStr"/>
      <c r="E19" s="7" t="inlineStr"/>
      <c r="F19" t="inlineStr">
        <is>
          <t>A</t>
        </is>
      </c>
    </row>
    <row r="20">
      <c r="A20" s="7" t="inlineStr">
        <is>
          <t>A13</t>
        </is>
      </c>
      <c r="B20" s="7" t="inlineStr">
        <is>
          <t>Peranti yang tidak dikeluarkan sepanjang tempoh sah sijil terdahulu telah dikeluarkan daripada senarai permohonan.</t>
        </is>
      </c>
      <c r="C20" s="7" t="inlineStr">
        <is>
          <t>MPPHM 17(2)(e)</t>
        </is>
      </c>
      <c r="D20" s="7" t="inlineStr"/>
      <c r="E20" s="7" t="inlineStr"/>
      <c r="F20" t="inlineStr">
        <is>
          <t>A</t>
        </is>
      </c>
    </row>
    <row r="21">
      <c r="A21" s="7" t="inlineStr">
        <is>
          <t>A14</t>
        </is>
      </c>
      <c r="B21" s="7" t="inlineStr">
        <is>
          <t>Peranti atau varian baharu dipohon melalui permohonan penambahan produk sebelum dilabel atau dipasarkan sebagai halal.</t>
        </is>
      </c>
      <c r="C21" s="7" t="inlineStr">
        <is>
          <t>MPPHM 23</t>
        </is>
      </c>
      <c r="D21" s="7" t="inlineStr"/>
      <c r="E21" s="7" t="inlineStr"/>
      <c r="F21" t="inlineStr">
        <is>
          <t>A</t>
        </is>
      </c>
    </row>
    <row r="22">
      <c r="A22" s="7" t="inlineStr">
        <is>
          <t>A15</t>
        </is>
      </c>
      <c r="B22" s="7" t="inlineStr">
        <is>
          <t>Peranti yang dipohon sudah sedia dikomersialkan: bahannya tersedia untuk diperiksa, tiada perubahan bahan atau pembungkusan, ujian larian telah dibuat, dan peranti diluluskan pengurusan. Peranti untuk penyelidikan klinikal atau penilaian prestasi yang belum dipasarkan tidak dipohon.</t>
        </is>
      </c>
      <c r="C22" s="7" t="inlineStr">
        <is>
          <t>MPPHM 6(10), 17(2)(h); Akta 737 s. 2</t>
        </is>
      </c>
      <c r="D22" s="7" t="inlineStr"/>
      <c r="E22" s="7" t="inlineStr"/>
      <c r="F22" t="inlineStr">
        <is>
          <t>A</t>
        </is>
      </c>
    </row>
    <row r="23">
      <c r="A23" s="7" t="inlineStr">
        <is>
          <t>A16</t>
        </is>
      </c>
      <c r="B23" s="7" t="inlineStr">
        <is>
          <t>Peranti siap (import atau tempatan) yang hanya dilabel semula tanpa diproses di Malaysia tidak dipohon.</t>
        </is>
      </c>
      <c r="C23" s="7" t="inlineStr">
        <is>
          <t>MPPHM 6(8)</t>
        </is>
      </c>
      <c r="D23" s="7" t="inlineStr"/>
      <c r="E23" s="7" t="inlineStr"/>
      <c r="F23" t="inlineStr">
        <is>
          <t>A</t>
        </is>
      </c>
    </row>
    <row r="24">
      <c r="A24" s="7" t="inlineStr">
        <is>
          <t>A17</t>
        </is>
      </c>
      <c r="B24" s="7" t="inlineStr">
        <is>
          <t>(jika ada pembungkusan semula) Peranti yang dibungkus semula mempunyai sijil halal yang diiktiraf dan masih sah, serta dokumen sumber yang jelas.</t>
        </is>
      </c>
      <c r="C24" s="7" t="inlineStr">
        <is>
          <t>MPPHM 5(11)</t>
        </is>
      </c>
      <c r="D24" s="7" t="inlineStr"/>
      <c r="E24" s="7" t="inlineStr"/>
      <c r="F24" t="inlineStr">
        <is>
          <t>A</t>
        </is>
      </c>
    </row>
    <row r="25">
      <c r="A25" s="7" t="inlineStr">
        <is>
          <t>A18</t>
        </is>
      </c>
      <c r="B25" s="7" t="inlineStr">
        <is>
          <t>Nama syarikat, produk, jenama dan bahan tidak menggunakan perkataan 'halal'.</t>
        </is>
      </c>
      <c r="C25" s="7" t="inlineStr">
        <is>
          <t>MPPHM 5(12)</t>
        </is>
      </c>
      <c r="D25" s="7" t="inlineStr"/>
      <c r="E25" s="7" t="inlineStr"/>
      <c r="F25" t="inlineStr">
        <is>
          <t>A</t>
        </is>
      </c>
    </row>
    <row r="26">
      <c r="A26" s="7" t="inlineStr">
        <is>
          <t>A19</t>
        </is>
      </c>
      <c r="B26" s="7" t="inlineStr">
        <is>
          <t>Nama produk dan jenama tidak merujuk kepada produk tidak halal dan tidak mengelirukan (rujuk senarai dalam MPPHM Lampiran A).</t>
        </is>
      </c>
      <c r="C26" s="7" t="inlineStr">
        <is>
          <t>MPPHM 6(7), Lampiran A</t>
        </is>
      </c>
      <c r="D26" s="7" t="inlineStr"/>
      <c r="E26" s="7" t="inlineStr"/>
      <c r="F26" t="inlineStr">
        <is>
          <t>A</t>
        </is>
      </c>
    </row>
    <row r="27">
      <c r="A27" s="7" t="inlineStr">
        <is>
          <t>A20</t>
        </is>
      </c>
      <c r="B27" s="7" t="inlineStr">
        <is>
          <t>Peranti tidak berbentuk atau menyerupai haiwan najis mughallazah (cth. termometer atau aksesori kanak-kanak berbentuk babi), dan tidak mengandungi unsur keagamaan atau implikasi negatif.</t>
        </is>
      </c>
      <c r="C27" s="7" t="inlineStr">
        <is>
          <t>MPPHM 17(2)(a)</t>
        </is>
      </c>
      <c r="D27" s="7" t="inlineStr"/>
      <c r="E27" s="7" t="inlineStr"/>
      <c r="F27" t="inlineStr">
        <is>
          <t>A</t>
        </is>
      </c>
    </row>
    <row r="28">
      <c r="A28" s="7" t="inlineStr">
        <is>
          <t>A21</t>
        </is>
      </c>
      <c r="B28" s="7" t="inlineStr">
        <is>
          <t>Tiada peranti yang membawa unsur khurafat, tahyul, penyelewengan akidah atau penipuan (cth. gelang atau loket 'bertenaga' yang didakwa menyembuhkan secara rohani).</t>
        </is>
      </c>
      <c r="C28" s="7" t="inlineStr">
        <is>
          <t>MPPHM 6(5), 6(11), 17(3)(d)</t>
        </is>
      </c>
      <c r="D28" s="7" t="inlineStr"/>
      <c r="E28" s="7" t="inlineStr"/>
      <c r="F28" t="inlineStr">
        <is>
          <t>A</t>
        </is>
      </c>
    </row>
    <row r="29">
      <c r="A29" s="4" t="inlineStr">
        <is>
          <t>Bahagian B: Pengurusan, Sistem Kualiti &amp; Sistem Pengurusan Halal (HAS/IHCS)</t>
        </is>
      </c>
      <c r="B29" s="5" t="n"/>
      <c r="C29" s="5" t="n"/>
      <c r="D29" s="5" t="n"/>
      <c r="E29" s="6" t="n"/>
    </row>
    <row r="30" ht="26" customHeight="1">
      <c r="A30" s="2" t="inlineStr">
        <is>
          <t>Semak sijil sistem kualiti, manual HAS atau IHCS, surat lantikan, minit JKHD, laporan audit dalaman dan semakan HAS, kemudian sahkan melalui temu bual dengan pengurusan atasan, Eksekutif Halal dan ahli JKHD.</t>
        </is>
      </c>
    </row>
    <row r="31">
      <c r="A31" s="7" t="inlineStr">
        <is>
          <t>B1</t>
        </is>
      </c>
      <c r="B31" s="7" t="inlineStr">
        <is>
          <t>Kategori industri ditentukan dengan betul berdasarkan nilai perolehan tahunan untuk menentukan sama ada HAS (besar/sederhana) atau IHCS (kecil/mikro) diperlukan. Had kategori: mikro di bawah RM300,000; kecil RM300,000 hingga RM14,999,999.99; sederhana RM15 juta hingga RM50 juta; besar melebihi RM50 juta.</t>
        </is>
      </c>
      <c r="C31" s="7" t="inlineStr">
        <is>
          <t>MPPHM 8(1) (Jadual 1); MHMS 7(1)</t>
        </is>
      </c>
      <c r="D31" s="7" t="inlineStr"/>
      <c r="E31" s="7" t="inlineStr"/>
      <c r="F31" t="inlineStr">
        <is>
          <t>B</t>
        </is>
      </c>
    </row>
    <row r="32">
      <c r="A32" s="7" t="inlineStr">
        <is>
          <t>B2</t>
        </is>
      </c>
      <c r="B32" s="7" t="inlineStr">
        <is>
          <t>Pengurusan atasan menunjukkan komitmen terhadap halal: tanggungjawab halal ditetapkan, dan sumber kewangan, infrastruktur serta tenaga kerja yang mencukupi disediakan.</t>
        </is>
      </c>
      <c r="C32" s="7" t="inlineStr">
        <is>
          <t>MS 2636 kl. 4.2*; MHMS 5(4)(b)</t>
        </is>
      </c>
      <c r="D32" s="7" t="inlineStr"/>
      <c r="E32" s="7" t="inlineStr"/>
      <c r="F32" t="inlineStr">
        <is>
          <t>B</t>
        </is>
      </c>
    </row>
    <row r="33">
      <c r="A33" s="7" t="inlineStr">
        <is>
          <t>B3</t>
        </is>
      </c>
      <c r="B33" s="7" t="inlineStr">
        <is>
          <t>Sijil sistem pengurusan kualiti MS ISO 13485 bagi premis pengilangan masih sah, dan skopnya meliputi reka bentuk dan/atau pengeluaran peranti yang dipohon.</t>
        </is>
      </c>
      <c r="C33" s="7" t="inlineStr">
        <is>
          <t>MS 2636 kl. 4.1*; MS ISO 13485; Akta 737 s. 4(b)</t>
        </is>
      </c>
      <c r="D33" s="7" t="inlineStr"/>
      <c r="E33" s="7" t="inlineStr"/>
      <c r="F33" t="inlineStr">
        <is>
          <t>B</t>
        </is>
      </c>
    </row>
    <row r="34">
      <c r="A34" s="7" t="inlineStr">
        <is>
          <t>B4</t>
        </is>
      </c>
      <c r="B34" s="7" t="inlineStr">
        <is>
          <t>Keperluan halal diterapkan dalam sistem kualiti (konsep halal built-in): kawalan reka bentuk, pembelian, pengeluaran, pelepasan produk dan kawalan perubahan merangkumi semakan halal.</t>
        </is>
      </c>
      <c r="C34" s="7" t="inlineStr">
        <is>
          <t>MS 2636 Pengenalan, kl. 4.1*, kl. 4.3*; MS ISO 13485</t>
        </is>
      </c>
      <c r="D34" s="7" t="inlineStr"/>
      <c r="E34" s="7" t="inlineStr"/>
      <c r="F34" t="inlineStr">
        <is>
          <t>B</t>
        </is>
      </c>
    </row>
    <row r="35">
      <c r="A35" s="7" t="inlineStr">
        <is>
          <t>B5</t>
        </is>
      </c>
      <c r="B35" s="7" t="inlineStr">
        <is>
          <t>Polisi halal bertulis menyatakan komitmen untuk mengeluarkan peranti halal dan mematuhi keperluan Pensijilan Halal Malaysia. Polisi itu diluluskan pengurusan atasan, dipamerkan, dan dimaklumkan kepada pekerja serta pihak berkepentingan, dan pekerja yang ditemu bual dapat menerangkannya.</t>
        </is>
      </c>
      <c r="C35" s="7" t="inlineStr">
        <is>
          <t>MHMS 5(2) (Polisi Halal), 6(1), 7(1)(b)(i), Lampiran A; MS 2636 kl. 4.2*</t>
        </is>
      </c>
      <c r="D35" s="7" t="inlineStr"/>
      <c r="E35" s="7" t="inlineStr"/>
      <c r="F35" t="inlineStr">
        <is>
          <t>B</t>
        </is>
      </c>
    </row>
    <row r="36">
      <c r="A36" s="7" t="inlineStr">
        <is>
          <t>B6</t>
        </is>
      </c>
      <c r="B36" s="7" t="inlineStr">
        <is>
          <t>IHCS (kecil/mikro): manual IHCS dibangunkan dan dilaksanakan, dan mengandungi sekurang-kurangnya polisi halal, prosedur kawalan bahan mentah dan prosedur kebolehkesanan. Prosedur kawalan risiko halal boleh ditambah tetapi tidak menggantikan prosedur kawalan bahan mentah.</t>
        </is>
      </c>
      <c r="C36" s="7" t="inlineStr">
        <is>
          <t>MPPHM 17(13)(a), 19; MHMS 6, 7(1)(b)</t>
        </is>
      </c>
      <c r="D36" s="7" t="inlineStr"/>
      <c r="E36" s="7" t="inlineStr"/>
      <c r="F36" t="inlineStr">
        <is>
          <t>B</t>
        </is>
      </c>
    </row>
    <row r="37">
      <c r="A37" s="7" t="inlineStr">
        <is>
          <t>B7</t>
        </is>
      </c>
      <c r="B37" s="7" t="inlineStr">
        <is>
          <t>IHCS (kecil/mikro): individu yang bertanggungjawab melaksanakan IHCS dikenal pasti secara bertulis dan dapat menerangkan tugasnya.</t>
        </is>
      </c>
      <c r="C37" s="7" t="inlineStr">
        <is>
          <t>MS 2636 kl. 4.6*</t>
        </is>
      </c>
      <c r="D37" s="7" t="inlineStr"/>
      <c r="E37" s="7" t="inlineStr"/>
      <c r="F37" t="inlineStr">
        <is>
          <t>B</t>
        </is>
      </c>
    </row>
    <row r="38">
      <c r="A38" s="7" t="inlineStr">
        <is>
          <t>B8</t>
        </is>
      </c>
      <c r="B38" s="7" t="inlineStr">
        <is>
          <t>HAS (besar/sederhana): manual HAS mengandungi profil syarikat, objektif, skop, polisi halal, JKHD dan 8 prosedur, iaitu audit halal dalaman, kawalan risiko halal, kawalan bahan mentah, latihan halal, kebolehkesanan, semakan HAS, analisis makmal dan sertu.</t>
        </is>
      </c>
      <c r="C38" s="7" t="inlineStr">
        <is>
          <t>MPPHM 17(13)(a), 20; MHMS 5(1) (Manual HAS), 7(1)(a); MS 2636 kl. 4.3*</t>
        </is>
      </c>
      <c r="D38" s="7" t="inlineStr"/>
      <c r="E38" s="7" t="inlineStr"/>
      <c r="F38" t="inlineStr">
        <is>
          <t>B</t>
        </is>
      </c>
    </row>
    <row r="39">
      <c r="A39" s="7" t="inlineStr">
        <is>
          <t>B9</t>
        </is>
      </c>
      <c r="B39" s="7" t="inlineStr">
        <is>
          <t>HAS: manual dan prosedur selaras dengan operasi sebenar, didokumenkan berasingan daripada sistem lain (cth. manual kualiti MS ISO 13485), dikemas kini apabila berlaku perubahan, dan diluluskan pengurusan tertinggi. Setiap prosedur menyatakan tarikh berkuat kuasa, tarikh kemas kini, nama penyedia dan nama pengesah.</t>
        </is>
      </c>
      <c r="C39" s="7" t="inlineStr">
        <is>
          <t>MHMS 5(1)</t>
        </is>
      </c>
      <c r="D39" s="7" t="inlineStr"/>
      <c r="E39" s="7" t="inlineStr"/>
      <c r="F39" t="inlineStr">
        <is>
          <t>B</t>
        </is>
      </c>
    </row>
    <row r="40">
      <c r="A40" s="7" t="inlineStr">
        <is>
          <t>B10</t>
        </is>
      </c>
      <c r="B40" s="7" t="inlineStr">
        <is>
          <t>HAS: Eksekutif Halal dilantik bagi setiap cawangan premis dan memenuhi kelayakan berikut: Muslim, warganegara Malaysia, berjawatan tetap, memiliki Diploma Pengurusan Halal atau setara atau 5 tahun pengalaman pengurusan halal, serta Sijil Eksekutif Halal daripada penyedia latihan berdaftar dengan HPB JAKIM.</t>
        </is>
      </c>
      <c r="C40" s="7" t="inlineStr">
        <is>
          <t>MPPHM 3; MHMS 5(3)(a) (Eksekutif Halal), 7(1)(a)(iii)</t>
        </is>
      </c>
      <c r="D40" s="7" t="inlineStr"/>
      <c r="E40" s="7" t="inlineStr"/>
      <c r="F40" t="inlineStr">
        <is>
          <t>B</t>
        </is>
      </c>
    </row>
    <row r="41">
      <c r="A41" s="7" t="inlineStr">
        <is>
          <t>B11</t>
        </is>
      </c>
      <c r="B41" s="7" t="inlineStr">
        <is>
          <t>HAS: Eksekutif Halal dilantik secara rasmi oleh pengurusan tertinggi (cth. melalui surat lantikan) dan mempunyai huraian tugas yang menjadikan pengurusan halal tugas hakikinya. Tugas lain yang diberikan kepadanya tidak menjejaskan tugas hakiki itu.</t>
        </is>
      </c>
      <c r="C41" s="7" t="inlineStr">
        <is>
          <t>MHMS 5(3)(b)-(e), Lampiran B</t>
        </is>
      </c>
      <c r="D41" s="7" t="inlineStr"/>
      <c r="E41" s="7" t="inlineStr"/>
      <c r="F41" t="inlineStr">
        <is>
          <t>B</t>
        </is>
      </c>
    </row>
    <row r="42">
      <c r="A42" s="7" t="inlineStr">
        <is>
          <t>B12</t>
        </is>
      </c>
      <c r="B42" s="7" t="inlineStr">
        <is>
          <t>HAS: JKHD dilantik secara rasmi dan bertulis oleh pengurusan tertinggi, dengan sekurang-kurangnya 4 ahli berjawatan tetap (Pengerusi, Eksekutif Halal, wakil pembelian dan wakil pengeluaran) serta wakil Bahagian R&amp;D. Setiap ahli mempunyai huraian tugas, dan carta organisasi JKHD tersedia.</t>
        </is>
      </c>
      <c r="C42" s="7" t="inlineStr">
        <is>
          <t>MHMS 5(4)(a), 5(4)(c), 5(4)(f) (JKHD), 7(1)(a)(i)</t>
        </is>
      </c>
      <c r="D42" s="7" t="inlineStr"/>
      <c r="E42" s="7" t="inlineStr"/>
      <c r="F42" t="inlineStr">
        <is>
          <t>B</t>
        </is>
      </c>
    </row>
    <row r="43">
      <c r="A43" s="7" t="inlineStr">
        <is>
          <t>B13</t>
        </is>
      </c>
      <c r="B43" s="7" t="inlineStr">
        <is>
          <t>HAS: Pengerusi JKHD berjawatan setara atau lebih tinggi daripada Eksekutif Halal dan kompeten dalam keperluan pensijilan halal (keutamaan diberi kepada Muslim). Ahli JKHD mempunyai pengetahuan tentang keperluan pensijilan halal.</t>
        </is>
      </c>
      <c r="C43" s="7" t="inlineStr">
        <is>
          <t>MHMS 5(4)(d), 5(4)(e), 5(4)(j)</t>
        </is>
      </c>
      <c r="D43" s="7" t="inlineStr"/>
      <c r="E43" s="7" t="inlineStr"/>
      <c r="F43" t="inlineStr">
        <is>
          <t>B</t>
        </is>
      </c>
    </row>
    <row r="44">
      <c r="A44" s="7" t="inlineStr">
        <is>
          <t>B14</t>
        </is>
      </c>
      <c r="B44" s="7" t="inlineStr">
        <is>
          <t>HAS: peranan, tanggungjawab dan terma rujukan JKHD dinyatakan dalam manual HAS. JKHD berasingan ditubuhkan bagi setiap cawangan yang mempunyai pengurusan operasi yang berbeza.</t>
        </is>
      </c>
      <c r="C44" s="7" t="inlineStr">
        <is>
          <t>MHMS 5(4)(h), 5(4)(k), Lampiran C1, C2</t>
        </is>
      </c>
      <c r="D44" s="7" t="inlineStr"/>
      <c r="E44" s="7" t="inlineStr"/>
      <c r="F44" t="inlineStr">
        <is>
          <t>B</t>
        </is>
      </c>
    </row>
    <row r="45">
      <c r="A45" s="7" t="inlineStr">
        <is>
          <t>B15</t>
        </is>
      </c>
      <c r="B45" s="7" t="inlineStr">
        <is>
          <t>HAS: JKHD bermesyuarat sekurang-kurangnya 2 kali setahun dengan agenda berkaitan halal, dan minit serta rekod JKHD mudah dirujuk semasa pemeriksaan.</t>
        </is>
      </c>
      <c r="C45" s="7" t="inlineStr">
        <is>
          <t>MHMS 5(4)(l), 5(4)(n)</t>
        </is>
      </c>
      <c r="D45" s="7" t="inlineStr"/>
      <c r="E45" s="7" t="inlineStr"/>
      <c r="F45" t="inlineStr">
        <is>
          <t>B</t>
        </is>
      </c>
    </row>
    <row r="46">
      <c r="A46" s="7" t="inlineStr">
        <is>
          <t>B16</t>
        </is>
      </c>
      <c r="B46" s="7" t="inlineStr">
        <is>
          <t>HAS: JKHD diberi kuasa membuat keputusan pengurusan halal (cth. menolak bahan, menahan pelepasan produk, meluluskan perubahan bahan), dan kuasa ini ternyata dalam terma rujukan serta minit mesyuarat.</t>
        </is>
      </c>
      <c r="C46" s="7" t="inlineStr">
        <is>
          <t>MHMS 5(4)(m)</t>
        </is>
      </c>
      <c r="D46" s="7" t="inlineStr"/>
      <c r="E46" s="7" t="inlineStr"/>
      <c r="F46" t="inlineStr">
        <is>
          <t>B</t>
        </is>
      </c>
    </row>
    <row r="47">
      <c r="A47" s="7" t="inlineStr">
        <is>
          <t>B17</t>
        </is>
      </c>
      <c r="B47" s="7" t="inlineStr">
        <is>
          <t>HAS: carta alir disediakan bagi setiap aliran pemprosesan peranti yang berbeza (cth. pengacuan suntikan, penyemperitan, pengacuan celup, salutan, pemasangan, pembungkusan, pensterilan), dan HCP ditanda pada carta alir.</t>
        </is>
      </c>
      <c r="C47" s="7" t="inlineStr">
        <is>
          <t>MHMS 7(1)(a)(ii), 5(6.1)(b) (Penentuan HCP), Lampiran F1, F3, F4</t>
        </is>
      </c>
      <c r="D47" s="7" t="inlineStr"/>
      <c r="E47" s="7" t="inlineStr"/>
      <c r="F47" t="inlineStr">
        <is>
          <t>B</t>
        </is>
      </c>
    </row>
    <row r="48">
      <c r="A48" s="7" t="inlineStr">
        <is>
          <t>B18</t>
        </is>
      </c>
      <c r="B48" s="7" t="inlineStr">
        <is>
          <t>HAS (dan IHCS yang memilih prosedur kawalan risiko halal): HCP dikenal pasti berdasarkan carta alir dan pelan lantai, merangkumi R&amp;D, produk, pemprosesan, premis dan peralatan, pekerja, pembungkusan, penyimpanan serta pengangkutan.</t>
        </is>
      </c>
      <c r="C48" s="7" t="inlineStr">
        <is>
          <t>MHMS 5(6)(a) (Kawalan Risiko Halal), 5(6.1)(a) (Penentuan HCP), 6(2), Lampiran F1, G</t>
        </is>
      </c>
      <c r="D48" s="7" t="inlineStr"/>
      <c r="E48" s="7" t="inlineStr"/>
      <c r="F48" t="inlineStr">
        <is>
          <t>B</t>
        </is>
      </c>
    </row>
    <row r="49">
      <c r="A49" s="7" t="inlineStr">
        <is>
          <t>B19</t>
        </is>
      </c>
      <c r="B49" s="7" t="inlineStr">
        <is>
          <t>HAS: bagi setiap HCP, pelan pengurusan risiko halal menyatakan risiko halal, kaedah kawalan, kekerapan, PIC, tindakan pembetulan dan rekod. Pelan ini didokumenkan berasingan daripada fail pengurusan risiko peranti dalam sistem kualiti.</t>
        </is>
      </c>
      <c r="C49" s="7" t="inlineStr">
        <is>
          <t>MHMS 5(6)(b), 5(6.2)(a), 5(6.2)(b) (Pelan Pengurusan Risiko Halal), Lampiran H</t>
        </is>
      </c>
      <c r="D49" s="7" t="inlineStr"/>
      <c r="E49" s="7" t="inlineStr"/>
      <c r="F49" t="inlineStr">
        <is>
          <t>B</t>
        </is>
      </c>
    </row>
    <row r="50">
      <c r="A50" s="7" t="inlineStr">
        <is>
          <t>B20</t>
        </is>
      </c>
      <c r="B50" s="7" t="inlineStr">
        <is>
          <t>HAS: rekod pelaksanaan kawalan risiko halal (pemantauan setiap HCP, penemuan dan tindakan pembetulan) lengkap, disimpan dan mudah dirujuk semasa pemeriksaan.</t>
        </is>
      </c>
      <c r="C50" s="7" t="inlineStr">
        <is>
          <t>MHMS 5(6)(d)</t>
        </is>
      </c>
      <c r="D50" s="7" t="inlineStr"/>
      <c r="E50" s="7" t="inlineStr"/>
      <c r="F50" t="inlineStr">
        <is>
          <t>B</t>
        </is>
      </c>
    </row>
    <row r="51">
      <c r="A51" s="7" t="inlineStr">
        <is>
          <t>B21</t>
        </is>
      </c>
      <c r="B51" s="7" t="inlineStr">
        <is>
          <t>Audit halal dalaman dibuat mengikut prosedur bertulis. Bagi HAS, audit dibuat sekurang-kurangnya sekali setahun bagi setiap cawangan premis.</t>
        </is>
      </c>
      <c r="C51" s="7" t="inlineStr">
        <is>
          <t>MS 2636 kl. 4.19*; MHMS 5(5)(a), 5(5)(b) (Audit Halal Dalaman)</t>
        </is>
      </c>
      <c r="D51" s="7" t="inlineStr"/>
      <c r="E51" s="7" t="inlineStr"/>
      <c r="F51" t="inlineStr">
        <is>
          <t>B</t>
        </is>
      </c>
    </row>
    <row r="52">
      <c r="A52" s="7" t="inlineStr">
        <is>
          <t>B22</t>
        </is>
      </c>
      <c r="B52" s="7" t="inlineStr">
        <is>
          <t>HAS: juruaudit halal dalaman dilantik oleh JKHD dan memegang Sijil Audit Halal Dalaman (Internal Halal Auditing) atau Sijil Eksekutif Halal daripada penyedia latihan halal berdaftar. Jika juruaudit pihak ketiga digunakan, juruaudit itu memegang Sijil Audit Halal Dalaman daripada penyedia latihan halal berdaftar.</t>
        </is>
      </c>
      <c r="C52" s="7" t="inlineStr">
        <is>
          <t>MHMS 5(5)(c), 5(5)(d), 5(5)(i), 5(5)(j)</t>
        </is>
      </c>
      <c r="D52" s="7" t="inlineStr"/>
      <c r="E52" s="7" t="inlineStr"/>
      <c r="F52" t="inlineStr">
        <is>
          <t>B</t>
        </is>
      </c>
    </row>
    <row r="53">
      <c r="A53" s="7" t="inlineStr">
        <is>
          <t>B23</t>
        </is>
      </c>
      <c r="B53" s="7" t="inlineStr">
        <is>
          <t>HAS: audit meliputi pematuhan prosedur pensijilan halal dan HCP, dan laporan serta senarai semak audit direkodkan dan dibentangkan kepada JKHD.</t>
        </is>
      </c>
      <c r="C53" s="7" t="inlineStr">
        <is>
          <t>MHMS 5(5)(e), 5(5)(g), Lampiran E</t>
        </is>
      </c>
      <c r="D53" s="7" t="inlineStr"/>
      <c r="E53" s="7" t="inlineStr"/>
      <c r="F53" t="inlineStr">
        <is>
          <t>B</t>
        </is>
      </c>
    </row>
    <row r="54">
      <c r="A54" s="7" t="inlineStr">
        <is>
          <t>B24</t>
        </is>
      </c>
      <c r="B54" s="7" t="inlineStr">
        <is>
          <t>HAS: ketidakakuran audit dalaman diperbetulkan dengan segera dan disahkan oleh JKHD (prosedur contoh MHMS: dalam 14 hari atau tempoh yang dipersetujui). JKHD menilai keberkesanan dan kekerapan audit bagi mengelakkan ketidakakuran berulang.</t>
        </is>
      </c>
      <c r="C54" s="7" t="inlineStr">
        <is>
          <t>MHMS 5(5)(f), 5(5)(h), Lampiran D</t>
        </is>
      </c>
      <c r="D54" s="7" t="inlineStr"/>
      <c r="E54" s="7" t="inlineStr"/>
      <c r="F54" t="inlineStr">
        <is>
          <t>B</t>
        </is>
      </c>
    </row>
    <row r="55">
      <c r="A55" s="7" t="inlineStr">
        <is>
          <t>B25</t>
        </is>
      </c>
      <c r="B55" s="7" t="inlineStr">
        <is>
          <t>HAS: semakan HAS dibuat sekurang-kurangnya sekali setahun oleh JKHD bersama pengurusan atasan untuk menilai keberkesanan HAS dan kompetensi ahli JKHD, dan keputusannya diluluskan secara bertulis oleh pengurusan atasan.</t>
        </is>
      </c>
      <c r="C55" s="7" t="inlineStr">
        <is>
          <t>MHMS 5(10) (Semakan HAS)</t>
        </is>
      </c>
      <c r="D55" s="7" t="inlineStr"/>
      <c r="E55" s="7" t="inlineStr"/>
      <c r="F55" t="inlineStr">
        <is>
          <t>B</t>
        </is>
      </c>
    </row>
    <row r="56">
      <c r="A56" s="7" t="inlineStr">
        <is>
          <t>B26</t>
        </is>
      </c>
      <c r="B56" s="7" t="inlineStr">
        <is>
          <t>Rekod (cth. semakan berkala oleh Eksekutif Halal atau oleh individu yang bertanggungjawab melaksanakan IHCS) menunjukkan pemantauan berterusan terhadap pelaksanaan kawalan halal.</t>
        </is>
      </c>
      <c r="C56" s="7" t="inlineStr">
        <is>
          <t>MPPHM 17(13)(b)</t>
        </is>
      </c>
      <c r="D56" s="7" t="inlineStr"/>
      <c r="E56" s="7" t="inlineStr"/>
      <c r="F56" t="inlineStr">
        <is>
          <t>B</t>
        </is>
      </c>
    </row>
    <row r="57">
      <c r="A57" s="7" t="inlineStr">
        <is>
          <t>B27</t>
        </is>
      </c>
      <c r="B57" s="7" t="inlineStr">
        <is>
          <t>Salinan terkini MPPHM, MHMS, MS 2636, fatwa dan pekeliling halal yang berkaitan disimpan, dan perubahan yang dikehendaki telah dilaksanakan.</t>
        </is>
      </c>
      <c r="C57" s="7" t="inlineStr">
        <is>
          <t>MPPHM 17(16)(b); MS 2636 kl. 4.20*</t>
        </is>
      </c>
      <c r="D57" s="7" t="inlineStr"/>
      <c r="E57" s="7" t="inlineStr"/>
      <c r="F57" t="inlineStr">
        <is>
          <t>B</t>
        </is>
      </c>
    </row>
    <row r="58">
      <c r="A58" s="4" t="inlineStr">
        <is>
          <t>Bahagian C: Bahan Mentah, Komponen &amp; Pembekal</t>
        </is>
      </c>
      <c r="B58" s="5" t="n"/>
      <c r="C58" s="5" t="n"/>
      <c r="D58" s="5" t="n"/>
      <c r="E58" s="6" t="n"/>
    </row>
    <row r="59" ht="26" customHeight="1">
      <c r="A59" s="2" t="inlineStr">
        <is>
          <t>Semak prosedur dan senarai induk bahan, sijil halal serta dokumen sokongan pembekal (termasuk bahan bantu pemprosesan), kemudian padankan dengan bahan sebenar di kawasan penerimaan dan stor.</t>
        </is>
      </c>
    </row>
    <row r="60">
      <c r="A60" s="7" t="inlineStr">
        <is>
          <t>C1</t>
        </is>
      </c>
      <c r="B60" s="7" t="inlineStr">
        <is>
          <t>Prosedur bertulis kawalan bahan mentah meliputi pembelian, penerimaan dan penyimpanan bahan, dengan rekod yang boleh dikesan.</t>
        </is>
      </c>
      <c r="C60" s="7" t="inlineStr">
        <is>
          <t>MHMS 5(7)(a) (Kawalan Bahan Mentah), 6(2), 7(1)(b)(ii), Lampiran I</t>
        </is>
      </c>
      <c r="D60" s="7" t="inlineStr"/>
      <c r="E60" s="7" t="inlineStr"/>
      <c r="F60" t="inlineStr">
        <is>
          <t>C</t>
        </is>
      </c>
    </row>
    <row r="61">
      <c r="A61" s="7" t="inlineStr">
        <is>
          <t>C2</t>
        </is>
      </c>
      <c r="B61" s="7" t="inlineStr">
        <is>
          <t>Senarai induk bahan mentah mengandungi sekurang-kurangnya: nama bahan; nama saintifik, nama dagangan atau kod; sumber bahan; nama dan alamat pengeluar; status perisytiharan halal kepada pihak berkuasa; maklumat sijil halal (badan pensijilan dan tarikh luput); dokumen sokongan; dan catatan.</t>
        </is>
      </c>
      <c r="C61" s="7" t="inlineStr">
        <is>
          <t>MHMS 5(7)(c), 5(7)(d), Lampiran J</t>
        </is>
      </c>
      <c r="D61" s="7" t="inlineStr"/>
      <c r="E61" s="7" t="inlineStr"/>
      <c r="F61" t="inlineStr">
        <is>
          <t>C</t>
        </is>
      </c>
    </row>
    <row r="62">
      <c r="A62" s="7" t="inlineStr">
        <is>
          <t>C3</t>
        </is>
      </c>
      <c r="B62" s="7" t="inlineStr">
        <is>
          <t>Senarai induk meliputi semua bahan, termasuk komponen, bahan salutan, pelekat, pelarut, agen pelepas acuan, bahan bantu pemprosesan dan bahan pembungkusan, dan dikemas kini setiap kali maklumat berubah.</t>
        </is>
      </c>
      <c r="C62" s="7" t="inlineStr">
        <is>
          <t>MHMS 5(7)(e)</t>
        </is>
      </c>
      <c r="D62" s="7" t="inlineStr"/>
      <c r="E62" s="7" t="inlineStr"/>
      <c r="F62" t="inlineStr">
        <is>
          <t>C</t>
        </is>
      </c>
    </row>
    <row r="63">
      <c r="A63" s="7" t="inlineStr">
        <is>
          <t>C4</t>
        </is>
      </c>
      <c r="B63" s="7" t="inlineStr">
        <is>
          <t>Semua bahan diisytiharkan dalam MYeHALAL dengan butiran yang sama seperti pada label bahan, dan bahan sebenar di stor sepadan dengan senarai induk dan MYeHALAL.</t>
        </is>
      </c>
      <c r="C63" s="7" t="inlineStr">
        <is>
          <t>MPPHM 17(1)(g); MHMS 5(7)</t>
        </is>
      </c>
      <c r="D63" s="7" t="inlineStr"/>
      <c r="E63" s="7" t="inlineStr"/>
      <c r="F63" t="inlineStr">
        <is>
          <t>C</t>
        </is>
      </c>
    </row>
    <row r="64">
      <c r="A64" s="7" t="inlineStr">
        <is>
          <t>C5</t>
        </is>
      </c>
      <c r="B64" s="7" t="inlineStr">
        <is>
          <t>Pengeluar asal setiap bahan dapat dikenal pasti, dan bungkusan bahan berlabel dengan nama serta maklumat perhubungan pengeluar.</t>
        </is>
      </c>
      <c r="C64" s="7" t="inlineStr">
        <is>
          <t>MPPHM 17(1)(e), 17(1)(h)</t>
        </is>
      </c>
      <c r="D64" s="7" t="inlineStr"/>
      <c r="E64" s="7" t="inlineStr"/>
      <c r="F64" t="inlineStr">
        <is>
          <t>C</t>
        </is>
      </c>
    </row>
    <row r="65">
      <c r="A65" s="7" t="inlineStr">
        <is>
          <t>C6</t>
        </is>
      </c>
      <c r="B65" s="7" t="inlineStr">
        <is>
          <t>Pembekal baharu dinilai (cth. melalui soal selidik bahan, perakuan pembekal atau perjanjian pembelian) dan diluluskan sebelum digunakan, dan audit pembekal dibuat jika perlu.</t>
        </is>
      </c>
      <c r="C65" s="7" t="inlineStr">
        <is>
          <t>MHMS 5(7), 5(5)(k); MS 2636 kl. 4.16*</t>
        </is>
      </c>
      <c r="D65" s="7" t="inlineStr"/>
      <c r="E65" s="7" t="inlineStr"/>
      <c r="F65" t="inlineStr">
        <is>
          <t>C</t>
        </is>
      </c>
    </row>
    <row r="66">
      <c r="A66" s="7" t="inlineStr">
        <is>
          <t>C7</t>
        </is>
      </c>
      <c r="B66" s="7" t="inlineStr">
        <is>
          <t>Pemeriksaan penerimaan bahan merangkumi semakan halal (logo atau sijil halal, nama pengeluar, nombor lot, keadaan bungkusan) sebelum bahan dilepaskan untuk kegunaan, dan rekod pemeriksaan disimpan.</t>
        </is>
      </c>
      <c r="C66" s="7" t="inlineStr">
        <is>
          <t>MS 2636 kl. 4.5*; MHMS 5(7)(a)</t>
        </is>
      </c>
      <c r="D66" s="7" t="inlineStr"/>
      <c r="E66" s="7" t="inlineStr"/>
      <c r="F66" t="inlineStr">
        <is>
          <t>C</t>
        </is>
      </c>
    </row>
    <row r="67">
      <c r="A67" s="7" t="inlineStr">
        <is>
          <t>C8</t>
        </is>
      </c>
      <c r="B67" s="7" t="inlineStr">
        <is>
          <t>Bahan mentah yang diterima selamat dan tidak tercemar. Bahan yang bungkusannya rosak, tercemar atau telah tamat tempoh ditolak atau dikuarantin, dan tidak digunakan.</t>
        </is>
      </c>
      <c r="C67" s="7" t="inlineStr">
        <is>
          <t>MPPHM 17(1)(a)</t>
        </is>
      </c>
      <c r="D67" s="7" t="inlineStr"/>
      <c r="E67" s="7" t="inlineStr"/>
      <c r="F67" t="inlineStr">
        <is>
          <t>C</t>
        </is>
      </c>
    </row>
    <row r="68">
      <c r="A68" s="7" t="inlineStr">
        <is>
          <t>C9</t>
        </is>
      </c>
      <c r="B68" s="7" t="inlineStr">
        <is>
          <t>Tarikh luput sijil halal bahan dipantau dan sijil baharu diperoleh sebelum tamat tempoh. Bahan yang sijilnya telah tamat tempoh tidak digunakan.</t>
        </is>
      </c>
      <c r="C68" s="7" t="inlineStr">
        <is>
          <t>MHMS 5(7)(d); MPPHM 17(1)(b)</t>
        </is>
      </c>
      <c r="D68" s="7" t="inlineStr"/>
      <c r="E68" s="7" t="inlineStr"/>
      <c r="F68" t="inlineStr">
        <is>
          <t>C</t>
        </is>
      </c>
    </row>
    <row r="69">
      <c r="A69" s="7" t="inlineStr">
        <is>
          <t>C10</t>
        </is>
      </c>
      <c r="B69" s="7" t="inlineStr">
        <is>
          <t>Tiada bahan yang diragui status halalnya (syubhah) digunakan atau disimpan di premis.</t>
        </is>
      </c>
      <c r="C69" s="7" t="inlineStr">
        <is>
          <t>MHMS 5(7)(b)(i)</t>
        </is>
      </c>
      <c r="D69" s="7" t="inlineStr"/>
      <c r="E69" s="7" t="inlineStr"/>
      <c r="F69" t="inlineStr">
        <is>
          <t>C</t>
        </is>
      </c>
    </row>
    <row r="70">
      <c r="A70" s="7" t="inlineStr">
        <is>
          <t>C11</t>
        </is>
      </c>
      <c r="B70" s="7" t="inlineStr">
        <is>
          <t>Setiap perubahan bahan, pembekal atau pengeluar dinilai oleh Eksekutif Halal atau JKHD (HAS) atau oleh individu yang bertanggungjawab melaksanakan IHCS, dan diisytiharkan kepada pihak berkuasa melalui MYeHALAL sebelum digunakan.</t>
        </is>
      </c>
      <c r="C70" s="7" t="inlineStr">
        <is>
          <t>MHMS 5(7)(b)(ii); MPPHM 17(1)(g)</t>
        </is>
      </c>
      <c r="D70" s="7" t="inlineStr"/>
      <c r="E70" s="7" t="inlineStr"/>
      <c r="F70" t="inlineStr">
        <is>
          <t>C</t>
        </is>
      </c>
    </row>
    <row r="71">
      <c r="A71" s="7" t="inlineStr">
        <is>
          <t>C12</t>
        </is>
      </c>
      <c r="B71" s="7" t="inlineStr">
        <is>
          <t>Bahan bersumber haiwan mempunyai sijil halal yang sah daripada JAKIM/JAIN/MAIN atau daripada badan pensijilan luar negara yang diiktiraf JAKIM. Bagi bahan import yang bersijil luar negara, nama badan pensijilan tertera pada label bahan.</t>
        </is>
      </c>
      <c r="C71" s="7" t="inlineStr">
        <is>
          <t>MPPHM 17(1)(b); Perintah Perakuan &amp; Penandaan Halal 2011 perenggan 5(1), 5(2)</t>
        </is>
      </c>
      <c r="D71" s="7" t="inlineStr"/>
      <c r="E71" s="7" t="inlineStr"/>
      <c r="F71" t="inlineStr">
        <is>
          <t>C</t>
        </is>
      </c>
    </row>
    <row r="72">
      <c r="A72" s="7" t="inlineStr">
        <is>
          <t>C13</t>
        </is>
      </c>
      <c r="B72" s="7" t="inlineStr">
        <is>
          <t>Bahan haiwan yang diimport berasal dari loji sembelihan atau pemprosesan yang diluluskan JPV.</t>
        </is>
      </c>
      <c r="C72" s="7" t="inlineStr">
        <is>
          <t>MPPHM 17(1)(c)</t>
        </is>
      </c>
      <c r="D72" s="7" t="inlineStr"/>
      <c r="E72" s="7" t="inlineStr"/>
      <c r="F72" t="inlineStr">
        <is>
          <t>C</t>
        </is>
      </c>
    </row>
    <row r="73">
      <c r="A73" s="7" t="inlineStr">
        <is>
          <t>C14</t>
        </is>
      </c>
      <c r="B73" s="7" t="inlineStr">
        <is>
          <t>Tiada bahan daripada babi, anjing atau keturunannya digunakan (cth. heparin daripada mukosa usus babi untuk salutan kateter atau tiub, gelatin atau kolagen babi, dermis atau submukosa usus babi untuk mesh biologi, tisu injap jantung babi).</t>
        </is>
      </c>
      <c r="C73" s="7" t="inlineStr">
        <is>
          <t>Perintah Takrif Halal 2011 perenggan 3(1)(a), 3(1)(b); MS 2636 kl. 4.4*, kl. 4.16*</t>
        </is>
      </c>
      <c r="D73" s="7" t="inlineStr"/>
      <c r="E73" s="7" t="inlineStr"/>
      <c r="F73" t="inlineStr">
        <is>
          <t>C</t>
        </is>
      </c>
    </row>
    <row r="74">
      <c r="A74" s="7" t="inlineStr">
        <is>
          <t>C15</t>
        </is>
      </c>
      <c r="B74" s="7" t="inlineStr">
        <is>
          <t>Bahan daripada lembu, kambing, bebiri atau haiwan halal lain (cth. kolagen, span gelatin, jahitan catgut, perikardium, graf tulang xenograf, kondroitin sulfat) berasal daripada haiwan yang disembelih mengikut Hukum Syarak.</t>
        </is>
      </c>
      <c r="C74" s="7" t="inlineStr">
        <is>
          <t>Perintah Takrif Halal 2011 perenggan 3(1)(a); MS 2636 kl. 4.16*</t>
        </is>
      </c>
      <c r="D74" s="7" t="inlineStr"/>
      <c r="E74" s="7" t="inlineStr"/>
      <c r="F74" t="inlineStr">
        <is>
          <t>C</t>
        </is>
      </c>
    </row>
    <row r="75">
      <c r="A75" s="7" t="inlineStr">
        <is>
          <t>C16</t>
        </is>
      </c>
      <c r="B75" s="7" t="inlineStr">
        <is>
          <t>Tiada bahan daripada anggota manusia atau hasilannya digunakan (cth. graf tulang alograf, membran amniotik, albumin manusia, trombin atau fibrin daripada plasma manusia, sel atau tisu manusia).</t>
        </is>
      </c>
      <c r="C75" s="7" t="inlineStr">
        <is>
          <t>Perintah Takrif Halal 2011 perenggan 3(1)(d); MS 2636 kl. 4.16*</t>
        </is>
      </c>
      <c r="D75" s="7" t="inlineStr"/>
      <c r="E75" s="7" t="inlineStr"/>
      <c r="F75" t="inlineStr">
        <is>
          <t>C</t>
        </is>
      </c>
    </row>
    <row r="76">
      <c r="A76" s="7" t="inlineStr">
        <is>
          <t>C17</t>
        </is>
      </c>
      <c r="B76" s="7" t="inlineStr">
        <is>
          <t>Tiada darah atau komponen darah haiwan (cth. serum, plasma, trombin atau fibrinogen yang diperoleh daripada darah haiwan) atau bahan najis lain digunakan dalam peranti.</t>
        </is>
      </c>
      <c r="C76" s="7" t="inlineStr">
        <is>
          <t>Perintah Takrif Halal 2011 perenggan 3(1)(a), 3(1)(b); MS 2636 kl. 4.16*</t>
        </is>
      </c>
      <c r="D76" s="7" t="inlineStr"/>
      <c r="E76" s="7" t="inlineStr"/>
      <c r="F76" t="inlineStr">
        <is>
          <t>C</t>
        </is>
      </c>
    </row>
    <row r="77">
      <c r="A77" s="7" t="inlineStr">
        <is>
          <t>C18</t>
        </is>
      </c>
      <c r="B77" s="7" t="inlineStr">
        <is>
          <t>Terbitan asid lemak dan gliserin dalam sebatian polimer, salutan dan formulasi produk (cth. kalsium atau zink stearat, amida asid lemak, gliserol, surfaktan) berasal daripada tumbuhan, bahan sintetik atau lemak haiwan halal yang bersijil, dan dokumen sumbernya tersedia.</t>
        </is>
      </c>
      <c r="C77" s="7" t="inlineStr">
        <is>
          <t>MS 2636 kl. 4.16*; MPPHM 17(1)(d)</t>
        </is>
      </c>
      <c r="D77" s="7" t="inlineStr"/>
      <c r="E77" s="7" t="inlineStr"/>
      <c r="F77" t="inlineStr">
        <is>
          <t>C</t>
        </is>
      </c>
    </row>
    <row r="78">
      <c r="A78" s="7" t="inlineStr">
        <is>
          <t>C19</t>
        </is>
      </c>
      <c r="B78" s="7" t="inlineStr">
        <is>
          <t>Agen pelepas acuan, minyak proses, bahan koagulan dan serbuk penyalut (cth. bagi pengacuan celup sarung tangan atau kateter) mempunyai sijil halal atau dokumen sumber.</t>
        </is>
      </c>
      <c r="C78" s="7" t="inlineStr">
        <is>
          <t>MS 2636 kl. 4.16*; MPPHM 17(1)(d); MHMS 5(7)(e)</t>
        </is>
      </c>
      <c r="D78" s="7" t="inlineStr"/>
      <c r="E78" s="7" t="inlineStr"/>
      <c r="F78" t="inlineStr">
        <is>
          <t>C</t>
        </is>
      </c>
    </row>
    <row r="79">
      <c r="A79" s="7" t="inlineStr">
        <is>
          <t>C20</t>
        </is>
      </c>
      <c r="B79" s="7" t="inlineStr">
        <is>
          <t>Bahan daripada mikroorganisma atau proses fermentasi (cth. asid hialuronik, enzim, selulosa bakteria) disokong dokumen yang menunjukkan media kultur dan nutriennya tidak berasal daripada sumber tidak halal.</t>
        </is>
      </c>
      <c r="C79" s="7" t="inlineStr">
        <is>
          <t>MS 2636 kl. 4.16*; MPPHM 17(1)(d)</t>
        </is>
      </c>
      <c r="D79" s="7" t="inlineStr"/>
      <c r="E79" s="7" t="inlineStr"/>
      <c r="F79" t="inlineStr">
        <is>
          <t>C</t>
        </is>
      </c>
    </row>
    <row r="80">
      <c r="A80" s="7" t="inlineStr">
        <is>
          <t>C21</t>
        </is>
      </c>
      <c r="B80" s="7" t="inlineStr">
        <is>
          <t>Bahan rekombinan atau GMO tidak menggunakan bahan genetik daripada haiwan tidak halal, dan dokumen sumbernya tersedia.</t>
        </is>
      </c>
      <c r="C80" s="7" t="inlineStr">
        <is>
          <t>MS 2636 kl. 4.16*</t>
        </is>
      </c>
      <c r="D80" s="7" t="inlineStr"/>
      <c r="E80" s="7" t="inlineStr"/>
      <c r="F80" t="inlineStr">
        <is>
          <t>C</t>
        </is>
      </c>
    </row>
    <row r="81">
      <c r="A81" s="7" t="inlineStr">
        <is>
          <t>C22</t>
        </is>
      </c>
      <c r="B81" s="7" t="inlineStr">
        <is>
          <t>Sumber bahan daripada hidupan akuatik atau serangga (cth. kitosan, kolagen ikan, kondroitin jerung, lilin lebah dalam lilin tulang, syelak) disahkan, dan status halalnya selaras dengan Hukum Syarak serta fatwa.</t>
        </is>
      </c>
      <c r="C81" s="7" t="inlineStr">
        <is>
          <t>MS 2636 kl. 4.16*; MPPHM 17(16)(b)</t>
        </is>
      </c>
      <c r="D81" s="7" t="inlineStr"/>
      <c r="E81" s="7" t="inlineStr"/>
      <c r="F81" t="inlineStr">
        <is>
          <t>C</t>
        </is>
      </c>
    </row>
    <row r="82">
      <c r="A82" s="7" t="inlineStr">
        <is>
          <t>C23</t>
        </is>
      </c>
      <c r="B82" s="7" t="inlineStr">
        <is>
          <t>Etanol atau isopropil alkohol yang digunakan sebagai bahan pelarut atau sebagai bahan dalam produk (cth. pad alkohol, larutan pembersih kulit) tidak diperoleh daripada proses pembuatan arak (khamar), dan dokumen sumbernya tersedia.</t>
        </is>
      </c>
      <c r="C82" s="7" t="inlineStr">
        <is>
          <t>MS 2636 kl. 4.16*; MPPHM 17(16)(b)</t>
        </is>
      </c>
      <c r="D82" s="7" t="inlineStr"/>
      <c r="E82" s="7" t="inlineStr"/>
      <c r="F82" t="inlineStr">
        <is>
          <t>C</t>
        </is>
      </c>
    </row>
    <row r="83">
      <c r="A83" s="7" t="inlineStr">
        <is>
          <t>C24</t>
        </is>
      </c>
      <c r="B83" s="7" t="inlineStr">
        <is>
          <t>(jika ada peranti kombinasi) Status halal bahan aktif dan eksipien dalam bahan perubatan (cth. salutan antibiotik, ubat pada stent, salutan heparin) disahkan melalui sijil halal atau dokumen sumber.</t>
        </is>
      </c>
      <c r="C83" s="7" t="inlineStr">
        <is>
          <t>MS 2636 kl. 4.16*; MPPHM 17(1)(a), 17(1)(d)</t>
        </is>
      </c>
      <c r="D83" s="7" t="inlineStr"/>
      <c r="E83" s="7" t="inlineStr"/>
      <c r="F83" t="inlineStr">
        <is>
          <t>C</t>
        </is>
      </c>
    </row>
    <row r="84">
      <c r="A84" s="7" t="inlineStr">
        <is>
          <t>C25</t>
        </is>
      </c>
      <c r="B84" s="7" t="inlineStr">
        <is>
          <t>Bahan tanpa sijil halal mempunyai dokumen sokongan lengkap: komposisi, carta alir pemprosesan dan sumber setiap komponen.</t>
        </is>
      </c>
      <c r="C84" s="7" t="inlineStr">
        <is>
          <t>MPPHM 17(1)(d)</t>
        </is>
      </c>
      <c r="D84" s="7" t="inlineStr"/>
      <c r="E84" s="7" t="inlineStr"/>
      <c r="F84" t="inlineStr">
        <is>
          <t>C</t>
        </is>
      </c>
    </row>
    <row r="85">
      <c r="A85" s="7" t="inlineStr">
        <is>
          <t>C26</t>
        </is>
      </c>
      <c r="B85" s="7" t="inlineStr">
        <is>
          <t>Bahan yang melalui pemprosesan kedua oleh pihak ketiga (cth. pemotongan kepingan kolagen, pra-campuran atau masterbatch polimer, pembungkusan semula) mempunyai sijil halal yang sah.</t>
        </is>
      </c>
      <c r="C85" s="7" t="inlineStr">
        <is>
          <t>MPPHM 17(1)(f)</t>
        </is>
      </c>
      <c r="D85" s="7" t="inlineStr"/>
      <c r="E85" s="7" t="inlineStr"/>
      <c r="F85" t="inlineStr">
        <is>
          <t>C</t>
        </is>
      </c>
    </row>
    <row r="86">
      <c r="A86" s="7" t="inlineStr">
        <is>
          <t>C27</t>
        </is>
      </c>
      <c r="B86" s="7" t="inlineStr">
        <is>
          <t>Bahan tidak beracun atau memudaratkan kesihatan: data keselamatan biologi (biocompatibility) bagi bahan yang bersentuhan dengan pesakit tersedia dalam fail teknikal pendaftaran MDA.</t>
        </is>
      </c>
      <c r="C86" s="7" t="inlineStr">
        <is>
          <t>Perintah Takrif Halal 2011 perenggan 3(1)(e); Akta 737 s. 4(a)</t>
        </is>
      </c>
      <c r="D86" s="7" t="inlineStr"/>
      <c r="E86" s="7" t="inlineStr"/>
      <c r="F86" t="inlineStr">
        <is>
          <t>C</t>
        </is>
      </c>
    </row>
    <row r="87">
      <c r="A87" s="7" t="inlineStr">
        <is>
          <t>C28</t>
        </is>
      </c>
      <c r="B87" s="7" t="inlineStr">
        <is>
          <t>Bahan mentah mematuhi undang-undang yang berkaitan (cth. permit import bagi bahan bersumber haiwan, dan bahan kimia berbahaya berlabel serta disertakan risalah data keselamatan).</t>
        </is>
      </c>
      <c r="C87" s="7" t="inlineStr">
        <is>
          <t>MPPHM 17(1)(i)</t>
        </is>
      </c>
      <c r="D87" s="7" t="inlineStr"/>
      <c r="E87" s="7" t="inlineStr"/>
      <c r="F87" t="inlineStr">
        <is>
          <t>C</t>
        </is>
      </c>
    </row>
    <row r="88">
      <c r="A88" s="7" t="inlineStr">
        <is>
          <t>C29</t>
        </is>
      </c>
      <c r="B88" s="7" t="inlineStr">
        <is>
          <t>(jika air bukan daripada bekalan awam digunakan) Laporan analisis kualiti air tersedia (cth. bagi air telaga yang digunakan dalam sistem air proses).</t>
        </is>
      </c>
      <c r="C88" s="7" t="inlineStr">
        <is>
          <t>MPPHM 17(1)(j)</t>
        </is>
      </c>
      <c r="D88" s="7" t="inlineStr"/>
      <c r="E88" s="7" t="inlineStr"/>
      <c r="F88" t="inlineStr">
        <is>
          <t>C</t>
        </is>
      </c>
    </row>
    <row r="89">
      <c r="A89" s="4" t="inlineStr">
        <is>
          <t>Bahagian D: Premis, Bilik Bersih &amp; Kawasan Sokongan</t>
        </is>
      </c>
      <c r="B89" s="5" t="n"/>
      <c r="C89" s="5" t="n"/>
      <c r="D89" s="5" t="n"/>
      <c r="E89" s="6" t="n"/>
    </row>
    <row r="90" ht="26" customHeight="1">
      <c r="A90" s="2" t="inlineStr">
        <is>
          <t>Dengan merujuk pelan lantai, berjalan dari kawasan luar dan pagar ke bangunan pengeluaran, bilik bersih, makmal kawalan kualiti, bengkel, kantin, bilik persalinan, tempat tinggal pekerja dan rumah haiwan ujian (jika ada).</t>
        </is>
      </c>
    </row>
    <row r="91">
      <c r="A91" s="7" t="inlineStr">
        <is>
          <t>D1</t>
        </is>
      </c>
      <c r="B91" s="7" t="inlineStr">
        <is>
          <t>Premis terletak jauh daripada sumber pencemaran tidak halal (cth. ladang babi, kilang yang memproses bahan tidak halal, loji kumbahan) atau dilindungi dengan berkesan daripadanya.</t>
        </is>
      </c>
      <c r="C91" s="7" t="inlineStr">
        <is>
          <t>MPPHM 17(8)(b); MS 2636 kl. 4.9*</t>
        </is>
      </c>
      <c r="D91" s="7" t="inlineStr"/>
      <c r="E91" s="7" t="inlineStr"/>
      <c r="F91" t="inlineStr">
        <is>
          <t>D</t>
        </is>
      </c>
    </row>
    <row r="92">
      <c r="A92" s="7" t="inlineStr">
        <is>
          <t>D2</t>
        </is>
      </c>
      <c r="B92" s="7" t="inlineStr">
        <is>
          <t>(jika bangunan dikongsi) Bangunan yang dikongsi dengan syarikat lain yang mengendalikan bahan tidak halal mempunyai laluan, stor, lif barang dan kemudahan yang diasingkan serta dikawal.</t>
        </is>
      </c>
      <c r="C92" s="7" t="inlineStr">
        <is>
          <t>MPPHM 17(8)(b)</t>
        </is>
      </c>
      <c r="D92" s="7" t="inlineStr"/>
      <c r="E92" s="7" t="inlineStr"/>
      <c r="F92" t="inlineStr">
        <is>
          <t>D</t>
        </is>
      </c>
    </row>
    <row r="93">
      <c r="A93" s="7" t="inlineStr">
        <is>
          <t>D3</t>
        </is>
      </c>
      <c r="B93" s="7" t="inlineStr">
        <is>
          <t>Premis berpagar atau dikawal daripada kemasukan haiwan peliharaan dan liar, serangga serta perosak.</t>
        </is>
      </c>
      <c r="C93" s="7" t="inlineStr">
        <is>
          <t>MPPHM 17(8)(c)</t>
        </is>
      </c>
      <c r="D93" s="7" t="inlineStr"/>
      <c r="E93" s="7" t="inlineStr"/>
      <c r="F93" t="inlineStr">
        <is>
          <t>D</t>
        </is>
      </c>
    </row>
    <row r="94">
      <c r="A94" s="7" t="inlineStr">
        <is>
          <t>D4</t>
        </is>
      </c>
      <c r="B94" s="7" t="inlineStr">
        <is>
          <t>Tiada anjing atau babi dipelihara atau dibawa masuk ke kawasan premis, termasuk anjing pengawal keselamatan dan haiwan ujian.</t>
        </is>
      </c>
      <c r="C94" s="7" t="inlineStr">
        <is>
          <t>MPPHM 17(8)(a), 17(8)(c)</t>
        </is>
      </c>
      <c r="D94" s="7" t="inlineStr"/>
      <c r="E94" s="7" t="inlineStr"/>
      <c r="F94" t="inlineStr">
        <is>
          <t>D</t>
        </is>
      </c>
    </row>
    <row r="95">
      <c r="A95" s="7" t="inlineStr">
        <is>
          <t>D5</t>
        </is>
      </c>
      <c r="B95" s="7" t="inlineStr">
        <is>
          <t>Pelan lantai terkini tersedia dan sepadan dengan susun atur sebenar, dan aliran bahan, produk serta pekerja mencegah pencemaran silang dan memudahkan pembersihan.</t>
        </is>
      </c>
      <c r="C95" s="7" t="inlineStr">
        <is>
          <t>MPPHM 17(8)(j); MS 2636 kl. 4.9*, kl. 4.10*</t>
        </is>
      </c>
      <c r="D95" s="7" t="inlineStr"/>
      <c r="E95" s="7" t="inlineStr"/>
      <c r="F95" t="inlineStr">
        <is>
          <t>D</t>
        </is>
      </c>
    </row>
    <row r="96">
      <c r="A96" s="7" t="inlineStr">
        <is>
          <t>D6</t>
        </is>
      </c>
      <c r="B96" s="7" t="inlineStr">
        <is>
          <t>Premis dalam keadaan baik, bersih dan teratur, tanpa longgokan barang yang tidak berkaitan.</t>
        </is>
      </c>
      <c r="C96" s="7" t="inlineStr">
        <is>
          <t>MPPHM 17(8)(d)</t>
        </is>
      </c>
      <c r="D96" s="7" t="inlineStr"/>
      <c r="E96" s="7" t="inlineStr"/>
      <c r="F96" t="inlineStr">
        <is>
          <t>D</t>
        </is>
      </c>
    </row>
    <row r="97">
      <c r="A97" s="7" t="inlineStr">
        <is>
          <t>D7</t>
        </is>
      </c>
      <c r="B97" s="7" t="inlineStr">
        <is>
          <t>Lantai, dinding, siling, kipas, penghawa dingin, tingkap dan pintu bersih serta dalam keadaan baik.</t>
        </is>
      </c>
      <c r="C97" s="7" t="inlineStr">
        <is>
          <t>MPPHM 17(8)(e)</t>
        </is>
      </c>
      <c r="D97" s="7" t="inlineStr"/>
      <c r="E97" s="7" t="inlineStr"/>
      <c r="F97" t="inlineStr">
        <is>
          <t>D</t>
        </is>
      </c>
    </row>
    <row r="98">
      <c r="A98" s="7" t="inlineStr">
        <is>
          <t>D8</t>
        </is>
      </c>
      <c r="B98" s="7" t="inlineStr">
        <is>
          <t>Pengudaraan dan pencahayaan mencukupi, dan lampu di kawasan pemprosesan bersih, berfungsi dan bertutup.</t>
        </is>
      </c>
      <c r="C98" s="7" t="inlineStr">
        <is>
          <t>MPPHM 17(8)(g), 17(8)(h)</t>
        </is>
      </c>
      <c r="D98" s="7" t="inlineStr"/>
      <c r="E98" s="7" t="inlineStr"/>
      <c r="F98" t="inlineStr">
        <is>
          <t>D</t>
        </is>
      </c>
    </row>
    <row r="99">
      <c r="A99" s="7" t="inlineStr">
        <is>
          <t>D9</t>
        </is>
      </c>
      <c r="B99" s="7" t="inlineStr">
        <is>
          <t>Saliran di dalam dan di sekitar premis bersih dan berfungsi.</t>
        </is>
      </c>
      <c r="C99" s="7" t="inlineStr">
        <is>
          <t>MPPHM 17(8)(l)</t>
        </is>
      </c>
      <c r="D99" s="7" t="inlineStr"/>
      <c r="E99" s="7" t="inlineStr"/>
      <c r="F99" t="inlineStr">
        <is>
          <t>D</t>
        </is>
      </c>
    </row>
    <row r="100">
      <c r="A100" s="7" t="inlineStr">
        <is>
          <t>D10</t>
        </is>
      </c>
      <c r="B100" s="7" t="inlineStr">
        <is>
          <t>Premis mematuhi undang-undang lain yang berkaitan dengan premis kilang (cth. perakuan bomba yang sah dan kelulusan agensi berkaitan bagi kemudahan pensterilan).</t>
        </is>
      </c>
      <c r="C100" s="7" t="inlineStr">
        <is>
          <t>MPPHM 17(8)(m)</t>
        </is>
      </c>
      <c r="D100" s="7" t="inlineStr"/>
      <c r="E100" s="7" t="inlineStr"/>
      <c r="F100" t="inlineStr">
        <is>
          <t>D</t>
        </is>
      </c>
    </row>
    <row r="101">
      <c r="A101" s="7" t="inlineStr">
        <is>
          <t>D11</t>
        </is>
      </c>
      <c r="B101" s="7" t="inlineStr">
        <is>
          <t>(jika ada bilik bersih) Bilik bersih atau kawasan terkawal dikelaskan dan dipantau mengikut keperluan sistem kualiti (cth. penapis HEPA, perbezaan tekanan, kebuk udara, bilik persalinan berperingkat), dan rekod pemantauan disimpan.</t>
        </is>
      </c>
      <c r="C101" s="7" t="inlineStr">
        <is>
          <t>MPPHM 17(8)(i); MS 2636 kl. 4.10*; MS ISO 13485</t>
        </is>
      </c>
      <c r="D101" s="7" t="inlineStr"/>
      <c r="E101" s="7" t="inlineStr"/>
      <c r="F101" t="inlineStr">
        <is>
          <t>D</t>
        </is>
      </c>
    </row>
    <row r="102">
      <c r="A102" s="7" t="inlineStr">
        <is>
          <t>D12</t>
        </is>
      </c>
      <c r="B102" s="7" t="inlineStr">
        <is>
          <t>Ruang di kawasan pengeluaran mencukupi bagi setiap operasi supaya bahan, komponen dan produk tidak bercampur aduk.</t>
        </is>
      </c>
      <c r="C102" s="7" t="inlineStr">
        <is>
          <t>MS 2636 kl. 4.10*</t>
        </is>
      </c>
      <c r="D102" s="7" t="inlineStr"/>
      <c r="E102" s="7" t="inlineStr"/>
      <c r="F102" t="inlineStr">
        <is>
          <t>D</t>
        </is>
      </c>
    </row>
    <row r="103">
      <c r="A103" s="7" t="inlineStr">
        <is>
          <t>D13</t>
        </is>
      </c>
      <c r="B103" s="7" t="inlineStr">
        <is>
          <t>Tiada alat atau unsur penyembahan di kawasan pengeluaran, penyimpanan dan makmal.</t>
        </is>
      </c>
      <c r="C103" s="7" t="inlineStr">
        <is>
          <t>MPPHM 17(15)</t>
        </is>
      </c>
      <c r="D103" s="7" t="inlineStr"/>
      <c r="E103" s="7" t="inlineStr"/>
      <c r="F103" t="inlineStr">
        <is>
          <t>D</t>
        </is>
      </c>
    </row>
    <row r="104">
      <c r="A104" s="7" t="inlineStr">
        <is>
          <t>D14</t>
        </is>
      </c>
      <c r="B104" s="7" t="inlineStr">
        <is>
          <t>Kawasan kawalan kualiti (makmal ujian fizikal, kimia, mikrobiologi dan steriliti) diasingkan daripada kawasan pengeluaran.</t>
        </is>
      </c>
      <c r="C104" s="7" t="inlineStr">
        <is>
          <t>MS 2636 kl. 4.12*</t>
        </is>
      </c>
      <c r="D104" s="7" t="inlineStr"/>
      <c r="E104" s="7" t="inlineStr"/>
      <c r="F104" t="inlineStr">
        <is>
          <t>D</t>
        </is>
      </c>
    </row>
    <row r="105">
      <c r="A105" s="7" t="inlineStr">
        <is>
          <t>D15</t>
        </is>
      </c>
      <c r="B105" s="7" t="inlineStr">
        <is>
          <t>Reagen dan media makmal yang bersumber haiwan (cth. media kultur yang mengandungi pepton atau ekstrak haiwan) dikenal pasti, disimpan dan digunakan di makmal sahaja, dan tidak dibawa ke kawasan pengeluaran.</t>
        </is>
      </c>
      <c r="C105" s="7" t="inlineStr">
        <is>
          <t>MS 2636 kl. 4.12*; MPPHM 17(3)(b)</t>
        </is>
      </c>
      <c r="D105" s="7" t="inlineStr"/>
      <c r="E105" s="7" t="inlineStr"/>
      <c r="F105" t="inlineStr">
        <is>
          <t>D</t>
        </is>
      </c>
    </row>
    <row r="106">
      <c r="A106" s="7" t="inlineStr">
        <is>
          <t>D16</t>
        </is>
      </c>
      <c r="B106" s="7" t="inlineStr">
        <is>
          <t>Bengkel penyelenggaraan diasingkan daripada kawasan pengeluaran, dan alatan yang perlu berada di kawasan pengeluaran disimpan di tempat khusus.</t>
        </is>
      </c>
      <c r="C106" s="7" t="inlineStr">
        <is>
          <t>MS 2636 kl. 4.13*</t>
        </is>
      </c>
      <c r="D106" s="7" t="inlineStr"/>
      <c r="E106" s="7" t="inlineStr"/>
      <c r="F106" t="inlineStr">
        <is>
          <t>D</t>
        </is>
      </c>
    </row>
    <row r="107">
      <c r="A107" s="7" t="inlineStr">
        <is>
          <t>D17</t>
        </is>
      </c>
      <c r="B107" s="7" t="inlineStr">
        <is>
          <t>Kantin, ruang rehat dan bilik persalinan diasingkan daripada kawasan pengeluaran dan penyimpanan.</t>
        </is>
      </c>
      <c r="C107" s="7" t="inlineStr">
        <is>
          <t>MS 2636 kl. 4.13*</t>
        </is>
      </c>
      <c r="D107" s="7" t="inlineStr"/>
      <c r="E107" s="7" t="inlineStr"/>
      <c r="F107" t="inlineStr">
        <is>
          <t>D</t>
        </is>
      </c>
    </row>
    <row r="108">
      <c r="A108" s="7" t="inlineStr">
        <is>
          <t>D18</t>
        </is>
      </c>
      <c r="B108" s="7" t="inlineStr">
        <is>
          <t>Kawasan premis di luar kawasan pemprosesan dan stor, termasuk pejabat, kantin, ruang rehat dan tempat tinggal pekerja, bebas daripada bahan dan produk tidak halal (cth. makanan yang mengandungi babi, minuman beralkohol).</t>
        </is>
      </c>
      <c r="C108" s="7" t="inlineStr">
        <is>
          <t>MPPHM 17(8)(a)</t>
        </is>
      </c>
      <c r="D108" s="7" t="inlineStr"/>
      <c r="E108" s="7" t="inlineStr"/>
      <c r="F108" t="inlineStr">
        <is>
          <t>D</t>
        </is>
      </c>
    </row>
    <row r="109">
      <c r="A109" s="7" t="inlineStr">
        <is>
          <t>D19</t>
        </is>
      </c>
      <c r="B109" s="7" t="inlineStr">
        <is>
          <t>(jika ada tempat tinggal pekerja) Tempat tinggal pekerja tidak berada di dalam kawasan premis. Jika perlu berada di dalam kawasan premis, ia terletak di bangunan berasingan daripada kawasan pemprosesan atau, jika di bangunan yang sama, mempunyai laluan masuk yang berasingan; tiada laluan terus dari tempat tinggal pekerja ke kawasan pemprosesan; dan mekanisme kawalan keluar masuk pekerja yang berkesan tersedia.</t>
        </is>
      </c>
      <c r="C109" s="7" t="inlineStr">
        <is>
          <t>MPPHM 17(8)(k)</t>
        </is>
      </c>
      <c r="D109" s="7" t="inlineStr"/>
      <c r="E109" s="7" t="inlineStr"/>
      <c r="F109" t="inlineStr">
        <is>
          <t>D</t>
        </is>
      </c>
    </row>
    <row r="110">
      <c r="A110" s="7" t="inlineStr">
        <is>
          <t>D20</t>
        </is>
      </c>
      <c r="B110" s="7" t="inlineStr">
        <is>
          <t>(jika ada) Rumah haiwan ujian diasingkan sepenuhnya daripada kawasan lain, dengan pintu masuk dan sistem pengendalian udara sendiri.</t>
        </is>
      </c>
      <c r="C110" s="7" t="inlineStr">
        <is>
          <t>MS 2636 kl. 4.13*; MPPHM 17(8)(b)</t>
        </is>
      </c>
      <c r="D110" s="7" t="inlineStr"/>
      <c r="E110" s="7" t="inlineStr"/>
      <c r="F110" t="inlineStr">
        <is>
          <t>D</t>
        </is>
      </c>
    </row>
    <row r="111">
      <c r="A111" s="4" t="inlineStr">
        <is>
          <t>Bahagian E: Penyimpanan</t>
        </is>
      </c>
      <c r="B111" s="5" t="n"/>
      <c r="C111" s="5" t="n"/>
      <c r="D111" s="5" t="n"/>
      <c r="E111" s="6" t="n"/>
    </row>
    <row r="112" ht="26" customHeight="1">
      <c r="A112" s="2" t="inlineStr">
        <is>
          <t>Periksa stor bahan mentah dan komponen, kawasan kuarantin, stor bahan kimia, kawasan produk ditolak dan pulangan, stor produk siap serta kontrak stor pihak ketiga (jika ada).</t>
        </is>
      </c>
    </row>
    <row r="113">
      <c r="A113" s="7" t="inlineStr">
        <is>
          <t>E1</t>
        </is>
      </c>
      <c r="B113" s="7" t="inlineStr">
        <is>
          <t>Stor hanya menyimpan bahan dan produk halal, termasuk produk dagangan. Tiada peranti atau bahan tidak halal milik pelanggan atau syarikat lain disimpan di stor.</t>
        </is>
      </c>
      <c r="C113" s="7" t="inlineStr">
        <is>
          <t>MPPHM 17(4)(a)</t>
        </is>
      </c>
      <c r="D113" s="7" t="inlineStr"/>
      <c r="E113" s="7" t="inlineStr"/>
      <c r="F113" t="inlineStr">
        <is>
          <t>E</t>
        </is>
      </c>
    </row>
    <row r="114">
      <c r="A114" s="7" t="inlineStr">
        <is>
          <t>E2</t>
        </is>
      </c>
      <c r="B114" s="7" t="inlineStr">
        <is>
          <t>Bahan yang diterima disimpan di kawasan kuarantin sehingga diluluskan, dan status setiap lot (kuarantin, lulus atau ditolak) ditanda dengan jelas.</t>
        </is>
      </c>
      <c r="C114" s="7" t="inlineStr">
        <is>
          <t>MS 2636 kl. 4.5*, kl. 4.10*; MPPHM 17(4)(f)</t>
        </is>
      </c>
      <c r="D114" s="7" t="inlineStr"/>
      <c r="E114" s="7" t="inlineStr"/>
      <c r="F114" t="inlineStr">
        <is>
          <t>E</t>
        </is>
      </c>
    </row>
    <row r="115">
      <c r="A115" s="7" t="inlineStr">
        <is>
          <t>E3</t>
        </is>
      </c>
      <c r="B115" s="7" t="inlineStr">
        <is>
          <t>Bahan mentah, bahan pembungkusan, produk siap, sampel R&amp;D, produk ditolak, peralatan dan bahan kimia diasingkan serta dilabel dengan jelas.</t>
        </is>
      </c>
      <c r="C115" s="7" t="inlineStr">
        <is>
          <t>MPPHM 17(4)(b); MS 2636 kl. 4.10*</t>
        </is>
      </c>
      <c r="D115" s="7" t="inlineStr"/>
      <c r="E115" s="7" t="inlineStr"/>
      <c r="F115" t="inlineStr">
        <is>
          <t>E</t>
        </is>
      </c>
    </row>
    <row r="116">
      <c r="A116" s="7" t="inlineStr">
        <is>
          <t>E4</t>
        </is>
      </c>
      <c r="B116" s="7" t="inlineStr">
        <is>
          <t>Barang yang tidak berkaitan (cth. barang peribadi, makanan pekerja, sisa) tidak disimpan bersama bahan mentah atau produk siap.</t>
        </is>
      </c>
      <c r="C116" s="7" t="inlineStr">
        <is>
          <t>MPPHM 17(4)(c)</t>
        </is>
      </c>
      <c r="D116" s="7" t="inlineStr"/>
      <c r="E116" s="7" t="inlineStr"/>
      <c r="F116" t="inlineStr">
        <is>
          <t>E</t>
        </is>
      </c>
    </row>
    <row r="117">
      <c r="A117" s="7" t="inlineStr">
        <is>
          <t>E5</t>
        </is>
      </c>
      <c r="B117" s="7" t="inlineStr">
        <is>
          <t>Bahan dan produk disimpan mengikut sifatnya (cth. suhu dan kelembapan terkawal bagi kolagen, gelatin atau formulasi cecair, dan bungkusan steril dilindungi daripada rosak).</t>
        </is>
      </c>
      <c r="C117" s="7" t="inlineStr">
        <is>
          <t>MPPHM 17(4)(d)</t>
        </is>
      </c>
      <c r="D117" s="7" t="inlineStr"/>
      <c r="E117" s="7" t="inlineStr"/>
      <c r="F117" t="inlineStr">
        <is>
          <t>E</t>
        </is>
      </c>
    </row>
    <row r="118">
      <c r="A118" s="7" t="inlineStr">
        <is>
          <t>E6</t>
        </is>
      </c>
      <c r="B118" s="7" t="inlineStr">
        <is>
          <t>Stor bersih dan teratur. Barang disusun di atas palet atau rak, dengan ruang untuk pembersihan dan pemeriksaan.</t>
        </is>
      </c>
      <c r="C118" s="7" t="inlineStr">
        <is>
          <t>MPPHM 17(4)(e), 17(4)(g), 17(8)(f)</t>
        </is>
      </c>
      <c r="D118" s="7" t="inlineStr"/>
      <c r="E118" s="7" t="inlineStr"/>
      <c r="F118" t="inlineStr">
        <is>
          <t>E</t>
        </is>
      </c>
    </row>
    <row r="119">
      <c r="A119" s="7" t="inlineStr">
        <is>
          <t>E7</t>
        </is>
      </c>
      <c r="B119" s="7" t="inlineStr">
        <is>
          <t>Prosedur penyimpanan dilaksanakan, dan rekod stok (kad stok atau sistem pengurusan gudang) lengkap serta sepadan dengan stok fizikal.</t>
        </is>
      </c>
      <c r="C119" s="7" t="inlineStr">
        <is>
          <t>MPPHM 17(4)(f)</t>
        </is>
      </c>
      <c r="D119" s="7" t="inlineStr"/>
      <c r="E119" s="7" t="inlineStr"/>
      <c r="F119" t="inlineStr">
        <is>
          <t>E</t>
        </is>
      </c>
    </row>
    <row r="120">
      <c r="A120" s="7" t="inlineStr">
        <is>
          <t>E8</t>
        </is>
      </c>
      <c r="B120" s="7" t="inlineStr">
        <is>
          <t>Bahan kimia toksik, bahan pencuci, pelarut dan gas pensteril disimpan berasingan daripada bahan dan produk dengan kawalan akses, sama ada di stor atau di kawasan pengeluaran.</t>
        </is>
      </c>
      <c r="C120" s="7" t="inlineStr">
        <is>
          <t>MPPHM 17(3)(g)</t>
        </is>
      </c>
      <c r="D120" s="7" t="inlineStr"/>
      <c r="E120" s="7" t="inlineStr"/>
      <c r="F120" t="inlineStr">
        <is>
          <t>E</t>
        </is>
      </c>
    </row>
    <row r="121">
      <c r="A121" s="7" t="inlineStr">
        <is>
          <t>E9</t>
        </is>
      </c>
      <c r="B121" s="7" t="inlineStr">
        <is>
          <t>Penyimpanan bahan kimia berbahaya, pelarut dan gas pensteril (cth. silinder etilena oksida) mematuhi undang-undang yang berkaitan.</t>
        </is>
      </c>
      <c r="C121" s="7" t="inlineStr">
        <is>
          <t>MPPHM 17(4)(i)</t>
        </is>
      </c>
      <c r="D121" s="7" t="inlineStr"/>
      <c r="E121" s="7" t="inlineStr"/>
      <c r="F121" t="inlineStr">
        <is>
          <t>E</t>
        </is>
      </c>
    </row>
    <row r="122">
      <c r="A122" s="7" t="inlineStr">
        <is>
          <t>E10</t>
        </is>
      </c>
      <c r="B122" s="7" t="inlineStr">
        <is>
          <t>Produk pulangan atau produk yang ditarik balik dari pasaran disimpan di kawasan berasingan yang ditanda, dan dinilai sebelum dilupuskan atau diproses semula.</t>
        </is>
      </c>
      <c r="C122" s="7" t="inlineStr">
        <is>
          <t>MS 2636 kl. 4.10*; MPPHM 17(4)(b)</t>
        </is>
      </c>
      <c r="D122" s="7" t="inlineStr"/>
      <c r="E122" s="7" t="inlineStr"/>
      <c r="F122" t="inlineStr">
        <is>
          <t>E</t>
        </is>
      </c>
    </row>
    <row r="123">
      <c r="A123" s="7" t="inlineStr">
        <is>
          <t>E11</t>
        </is>
      </c>
      <c r="B123" s="7" t="inlineStr">
        <is>
          <t>(jika ada) Stor pihak ketiga digunakan dengan kontrak bertulis yang menyatakan keperluan halal, dan penyedia logistik yang memegang SPHM diutamakan.</t>
        </is>
      </c>
      <c r="C123" s="7" t="inlineStr">
        <is>
          <t>MPPHM 17(4)(h); MHMS 5(6)(c)</t>
        </is>
      </c>
      <c r="D123" s="7" t="inlineStr"/>
      <c r="E123" s="7" t="inlineStr"/>
      <c r="F123" t="inlineStr">
        <is>
          <t>E</t>
        </is>
      </c>
    </row>
    <row r="124">
      <c r="A124" s="4" t="inlineStr">
        <is>
          <t>Bahagian F: Peralatan, Utiliti &amp; Bahan Bantu</t>
        </is>
      </c>
      <c r="B124" s="5" t="n"/>
      <c r="C124" s="5" t="n"/>
      <c r="D124" s="5" t="n"/>
      <c r="E124" s="6" t="n"/>
    </row>
    <row r="125" ht="26" customHeight="1">
      <c r="A125" s="2" t="inlineStr">
        <is>
          <t>Periksa mesin pengeluaran, acuan, peralatan bilik bersih dan makmal, sistem air proses serta rekod pembersihan, penyelenggaraan dan penentukuran.</t>
        </is>
      </c>
    </row>
    <row r="126">
      <c r="A126" s="7" t="inlineStr">
        <is>
          <t>F1</t>
        </is>
      </c>
      <c r="B126" s="7" t="inlineStr">
        <is>
          <t>Peralatan dan mesin digunakan untuk bahan dan produk halal sahaja. Tiada barisan pengeluaran dikongsi dengan produk tidak halal (cth. produk berasaskan kolagen babi untuk pelanggan lain).</t>
        </is>
      </c>
      <c r="C126" s="7" t="inlineStr">
        <is>
          <t>MPPHM 17(5)(a); MS 2636 kl. 4.9*</t>
        </is>
      </c>
      <c r="D126" s="7" t="inlineStr"/>
      <c r="E126" s="7" t="inlineStr"/>
      <c r="F126" t="inlineStr">
        <is>
          <t>F</t>
        </is>
      </c>
    </row>
    <row r="127">
      <c r="A127" s="7" t="inlineStr">
        <is>
          <t>F2</t>
        </is>
      </c>
      <c r="B127" s="7" t="inlineStr">
        <is>
          <t>Tiada peralatan atau perkakas yang berlabel arak atau memberi implikasi negatif.</t>
        </is>
      </c>
      <c r="C127" s="7" t="inlineStr">
        <is>
          <t>MPPHM 17(5)(b)</t>
        </is>
      </c>
      <c r="D127" s="7" t="inlineStr"/>
      <c r="E127" s="7" t="inlineStr"/>
      <c r="F127" t="inlineStr">
        <is>
          <t>F</t>
        </is>
      </c>
    </row>
    <row r="128">
      <c r="A128" s="7" t="inlineStr">
        <is>
          <t>F3</t>
        </is>
      </c>
      <c r="B128" s="7" t="inlineStr">
        <is>
          <t>Status halal peralatan atau komponen bersumber haiwan disahkan (cth. berus bulu haiwan untuk pembersihan atau penggilapan, roda dan kompaun penggilap, karbon teraktif daripada arang tulang dalam penapis air).</t>
        </is>
      </c>
      <c r="C128" s="7" t="inlineStr">
        <is>
          <t>MPPHM 17(5)(c)</t>
        </is>
      </c>
      <c r="D128" s="7" t="inlineStr"/>
      <c r="E128" s="7" t="inlineStr"/>
      <c r="F128" t="inlineStr">
        <is>
          <t>F</t>
        </is>
      </c>
    </row>
    <row r="129">
      <c r="A129" s="7" t="inlineStr">
        <is>
          <t>F4</t>
        </is>
      </c>
      <c r="B129" s="7" t="inlineStr">
        <is>
          <t>Peralatan dalam keadaan baik, bersih, bebas najis, tidak toksik atau berkarat, dan tidak memberi kesan sampingan kepada produk.</t>
        </is>
      </c>
      <c r="C129" s="7" t="inlineStr">
        <is>
          <t>MPPHM 17(5)(d); MS 2636 kl. 4.9*</t>
        </is>
      </c>
      <c r="D129" s="7" t="inlineStr"/>
      <c r="E129" s="7" t="inlineStr"/>
      <c r="F129" t="inlineStr">
        <is>
          <t>F</t>
        </is>
      </c>
    </row>
    <row r="130">
      <c r="A130" s="7" t="inlineStr">
        <is>
          <t>F5</t>
        </is>
      </c>
      <c r="B130" s="7" t="inlineStr">
        <is>
          <t>Pelincir mesin yang mungkin bersentuhan dengan produk atau komponen, cecair penyejuk dan minyak hidraulik di kawasan pengeluaran mempunyai sijil halal atau dokumen sumber. Pelincir berasaskan lemak haiwan (tallow) tidak digunakan tanpa bukti sumber halal.</t>
        </is>
      </c>
      <c r="C130" s="7" t="inlineStr">
        <is>
          <t>MS 2636 kl. 4.9*; MPPHM 17(1)(d); MHMS 5(7)(e)</t>
        </is>
      </c>
      <c r="D130" s="7" t="inlineStr"/>
      <c r="E130" s="7" t="inlineStr"/>
      <c r="F130" t="inlineStr">
        <is>
          <t>F</t>
        </is>
      </c>
    </row>
    <row r="131">
      <c r="A131" s="7" t="inlineStr">
        <is>
          <t>F6</t>
        </is>
      </c>
      <c r="B131" s="7" t="inlineStr">
        <is>
          <t>Prosedur dan jadual pembersihan serta penyelenggaraan berkala dilaksanakan, dan rekodnya lengkap.</t>
        </is>
      </c>
      <c r="C131" s="7" t="inlineStr">
        <is>
          <t>MPPHM 17(5)(e)</t>
        </is>
      </c>
      <c r="D131" s="7" t="inlineStr"/>
      <c r="E131" s="7" t="inlineStr"/>
      <c r="F131" t="inlineStr">
        <is>
          <t>F</t>
        </is>
      </c>
    </row>
    <row r="132">
      <c r="A132" s="7" t="inlineStr">
        <is>
          <t>F7</t>
        </is>
      </c>
      <c r="B132" s="7" t="inlineStr">
        <is>
          <t>(jika ada sistem air proses) Sistem air proses (cth. air tulen atau air untuk suntikan bagi formulasi cecair) diselenggara mengikut jadual, dan kualiti airnya dipantau serta direkod.</t>
        </is>
      </c>
      <c r="C132" s="7" t="inlineStr">
        <is>
          <t>MPPHM 17(5)(e); MS 2636 kl. 4.9*</t>
        </is>
      </c>
      <c r="D132" s="7" t="inlineStr"/>
      <c r="E132" s="7" t="inlineStr"/>
      <c r="F132" t="inlineStr">
        <is>
          <t>F</t>
        </is>
      </c>
    </row>
    <row r="133">
      <c r="A133" s="7" t="inlineStr">
        <is>
          <t>F8</t>
        </is>
      </c>
      <c r="B133" s="7" t="inlineStr">
        <is>
          <t>Peralatan pengukuran dan ujian sesuai dengan tujuannya dan ditentukur mengikut jadual, dan status penentukuran ditanda pada peralatan.</t>
        </is>
      </c>
      <c r="C133" s="7" t="inlineStr">
        <is>
          <t>MPPHM 17(5)(g); MS ISO 13485</t>
        </is>
      </c>
      <c r="D133" s="7" t="inlineStr"/>
      <c r="E133" s="7" t="inlineStr"/>
      <c r="F133" t="inlineStr">
        <is>
          <t>F</t>
        </is>
      </c>
    </row>
    <row r="134">
      <c r="A134" s="7" t="inlineStr">
        <is>
          <t>F9</t>
        </is>
      </c>
      <c r="B134" s="7" t="inlineStr">
        <is>
          <t>Peralatan yang rosak atau tidak digunakan dikenal pasti, dan dialihkan atau diasingkan daripada kawasan pengeluaran.</t>
        </is>
      </c>
      <c r="C134" s="7" t="inlineStr">
        <is>
          <t>MPPHM 17(5)(f)</t>
        </is>
      </c>
      <c r="D134" s="7" t="inlineStr"/>
      <c r="E134" s="7" t="inlineStr"/>
      <c r="F134" t="inlineStr">
        <is>
          <t>F</t>
        </is>
      </c>
    </row>
    <row r="135">
      <c r="A135" s="7" t="inlineStr">
        <is>
          <t>F10</t>
        </is>
      </c>
      <c r="B135" s="7" t="inlineStr">
        <is>
          <t>Sejarah penggunaan peralatan atau acuan terpakai yang diperoleh daripada pihak lain disemak, dan peralatan itu dibersihkan serta diluluskan sebelum digunakan untuk produk halal.</t>
        </is>
      </c>
      <c r="C135" s="7" t="inlineStr">
        <is>
          <t>MPPHM 17(5)(a), 17(5)(d)</t>
        </is>
      </c>
      <c r="D135" s="7" t="inlineStr"/>
      <c r="E135" s="7" t="inlineStr"/>
      <c r="F135" t="inlineStr">
        <is>
          <t>F</t>
        </is>
      </c>
    </row>
    <row r="136">
      <c r="A136" s="4" t="inlineStr">
        <is>
          <t>Bahagian G: Pembuatan, Pensterilan &amp; Kawalan Kualiti Halal</t>
        </is>
      </c>
      <c r="B136" s="5" t="n"/>
      <c r="C136" s="5" t="n"/>
      <c r="D136" s="5" t="n"/>
      <c r="E136" s="6" t="n"/>
    </row>
    <row r="137" ht="26" customHeight="1">
      <c r="A137" s="2" t="inlineStr">
        <is>
          <t>Perhatikan aktiviti R&amp;D, operasi di lantai pengeluaran dan bilik bersih, pensterilan dalaman dan pelepasan produk, serta semak rekod kelompok dan rekod kawalan kualiti.</t>
        </is>
      </c>
    </row>
    <row r="138">
      <c r="A138" s="7" t="inlineStr">
        <is>
          <t>G1</t>
        </is>
      </c>
      <c r="B138" s="7" t="inlineStr">
        <is>
          <t>R&amp;D: penilaian halal dibuat pada peringkat reka bentuk dan pemilihan bahan (konsep halal built-in), dan bahan baharu diluluskan oleh Eksekutif Halal atau JKHD (HAS) atau oleh individu yang bertanggungjawab melaksanakan IHCS sebelum ujian larian.</t>
        </is>
      </c>
      <c r="C138" s="7" t="inlineStr">
        <is>
          <t>MS 2636 Pengenalan, kl. 4.4*; MHMS 5(6)(a), 7(1)(a)(i)</t>
        </is>
      </c>
      <c r="D138" s="7" t="inlineStr"/>
      <c r="E138" s="7" t="inlineStr"/>
      <c r="F138" t="inlineStr">
        <is>
          <t>G</t>
        </is>
      </c>
    </row>
    <row r="139">
      <c r="A139" s="7" t="inlineStr">
        <is>
          <t>G2</t>
        </is>
      </c>
      <c r="B139" s="7" t="inlineStr">
        <is>
          <t>Semua aktiviti pemprosesan memenuhi Hukum Syarak serta mengikut carta alir dan prosedur yang diluluskan.</t>
        </is>
      </c>
      <c r="C139" s="7" t="inlineStr">
        <is>
          <t>MPPHM 17(3)(a); MS 2636 kl. 4.15*</t>
        </is>
      </c>
      <c r="D139" s="7" t="inlineStr"/>
      <c r="E139" s="7" t="inlineStr"/>
      <c r="F139" t="inlineStr">
        <is>
          <t>G</t>
        </is>
      </c>
    </row>
    <row r="140">
      <c r="A140" s="7" t="inlineStr">
        <is>
          <t>G3</t>
        </is>
      </c>
      <c r="B140" s="7" t="inlineStr">
        <is>
          <t>Kawasan pemprosesan bebas daripada bahan atau produk tidak halal.</t>
        </is>
      </c>
      <c r="C140" s="7" t="inlineStr">
        <is>
          <t>MPPHM 17(3)(b)</t>
        </is>
      </c>
      <c r="D140" s="7" t="inlineStr"/>
      <c r="E140" s="7" t="inlineStr"/>
      <c r="F140" t="inlineStr">
        <is>
          <t>G</t>
        </is>
      </c>
    </row>
    <row r="141">
      <c r="A141" s="7" t="inlineStr">
        <is>
          <t>G4</t>
        </is>
      </c>
      <c r="B141" s="7" t="inlineStr">
        <is>
          <t>Kawasan pemprosesan tidak digunakan untuk tujuan lain (cth. pengeluaran untuk pelanggan lain atau percubaan bahan baharu) tanpa kawalan halal.</t>
        </is>
      </c>
      <c r="C141" s="7" t="inlineStr">
        <is>
          <t>MPPHM 17(3)(c)</t>
        </is>
      </c>
      <c r="D141" s="7" t="inlineStr"/>
      <c r="E141" s="7" t="inlineStr"/>
      <c r="F141" t="inlineStr">
        <is>
          <t>G</t>
        </is>
      </c>
    </row>
    <row r="142">
      <c r="A142" s="7" t="inlineStr">
        <is>
          <t>G5</t>
        </is>
      </c>
      <c r="B142" s="7" t="inlineStr">
        <is>
          <t>Pengeluaran mematuhi amalan pengilangan baik (GMP) dan sistem pengurusan kualiti peranti perubatan.</t>
        </is>
      </c>
      <c r="C142" s="7" t="inlineStr">
        <is>
          <t>MPPHM 17(3)(e); Akta 737 s. 4(b); MS ISO 13485</t>
        </is>
      </c>
      <c r="D142" s="7" t="inlineStr"/>
      <c r="E142" s="7" t="inlineStr"/>
      <c r="F142" t="inlineStr">
        <is>
          <t>G</t>
        </is>
      </c>
    </row>
    <row r="143">
      <c r="A143" s="7" t="inlineStr">
        <is>
          <t>G6</t>
        </is>
      </c>
      <c r="B143" s="7" t="inlineStr">
        <is>
          <t>Kawasan pemprosesan bersih dan teratur semasa operasi, dan skrap serta sisa proses dikumpulkan dalam bekas yang berlabel.</t>
        </is>
      </c>
      <c r="C143" s="7" t="inlineStr">
        <is>
          <t>MPPHM 17(3)(f)</t>
        </is>
      </c>
      <c r="D143" s="7" t="inlineStr"/>
      <c r="E143" s="7" t="inlineStr"/>
      <c r="F143" t="inlineStr">
        <is>
          <t>G</t>
        </is>
      </c>
    </row>
    <row r="144">
      <c r="A144" s="7" t="inlineStr">
        <is>
          <t>G7</t>
        </is>
      </c>
      <c r="B144" s="7" t="inlineStr">
        <is>
          <t>Pembersihan barisan (line clearance) dibuat dan direkod sebelum kelompok atau produk baharu dimulakan, bagi memastikan tiada bahan, komponen atau label daripada kelompok sebelumnya tertinggal.</t>
        </is>
      </c>
      <c r="C144" s="7" t="inlineStr">
        <is>
          <t>MS 2636 kl. 4.15*; MS ISO 13485</t>
        </is>
      </c>
      <c r="D144" s="7" t="inlineStr"/>
      <c r="E144" s="7" t="inlineStr"/>
      <c r="F144" t="inlineStr">
        <is>
          <t>G</t>
        </is>
      </c>
    </row>
    <row r="145">
      <c r="A145" s="7" t="inlineStr">
        <is>
          <t>G8</t>
        </is>
      </c>
      <c r="B145" s="7" t="inlineStr">
        <is>
          <t>Pengeluaran sejajar dengan rekod pemprosesan terkini: bahan yang dikeluarkan ke lantai pengeluaran sepadan dengan senarai bahan dalam rekod induk peranti dan senarai induk bahan, tanpa bahan atau langkah proses yang tidak diisytiharkan.</t>
        </is>
      </c>
      <c r="C145" s="7" t="inlineStr">
        <is>
          <t>MPPHM 17(2)(d); MS 2636 kl. 4.15*</t>
        </is>
      </c>
      <c r="D145" s="7" t="inlineStr"/>
      <c r="E145" s="7" t="inlineStr"/>
      <c r="F145" t="inlineStr">
        <is>
          <t>G</t>
        </is>
      </c>
    </row>
    <row r="146">
      <c r="A146" s="7" t="inlineStr">
        <is>
          <t>G9</t>
        </is>
      </c>
      <c r="B146" s="7" t="inlineStr">
        <is>
          <t>Kerja semula (rework) dan bahan kisar semula (regrind) hanya menggunakan bahan daripada produk halal yang sama, dan penggunaannya direkod.</t>
        </is>
      </c>
      <c r="C146" s="7" t="inlineStr">
        <is>
          <t>MS 2636 kl. 4.15*</t>
        </is>
      </c>
      <c r="D146" s="7" t="inlineStr"/>
      <c r="E146" s="7" t="inlineStr"/>
      <c r="F146" t="inlineStr">
        <is>
          <t>G</t>
        </is>
      </c>
    </row>
    <row r="147">
      <c r="A147" s="7" t="inlineStr">
        <is>
          <t>G10</t>
        </is>
      </c>
      <c r="B147" s="7" t="inlineStr">
        <is>
          <t>Kuantiti, saiz atau isi kandungan peranti yang dikeluarkan sama dengan yang dinyatakan pada label.</t>
        </is>
      </c>
      <c r="C147" s="7" t="inlineStr">
        <is>
          <t>MPPHM 17(2)(f)</t>
        </is>
      </c>
      <c r="D147" s="7" t="inlineStr"/>
      <c r="E147" s="7" t="inlineStr"/>
      <c r="F147" t="inlineStr">
        <is>
          <t>G</t>
        </is>
      </c>
    </row>
    <row r="148">
      <c r="A148" s="7" t="inlineStr">
        <is>
          <t>G11</t>
        </is>
      </c>
      <c r="B148" s="7" t="inlineStr">
        <is>
          <t>(jika pensterilan dibuat di premis) Setiap kitaran pensterilan (etilena oksida, stim atau penyinaran) hanya memuatkan produk halal, kaedahnya tidak menggunakan bahan bersumber tidak halal, dan rekod beban disimpan bagi setiap kitaran.</t>
        </is>
      </c>
      <c r="C148" s="7" t="inlineStr">
        <is>
          <t>MS 2636 kl. 4.15*; MPPHM 17(3)(b), 17(3)(c)</t>
        </is>
      </c>
      <c r="D148" s="7" t="inlineStr"/>
      <c r="E148" s="7" t="inlineStr"/>
      <c r="F148" t="inlineStr">
        <is>
          <t>G</t>
        </is>
      </c>
    </row>
    <row r="149">
      <c r="A149" s="7" t="inlineStr">
        <is>
          <t>G12</t>
        </is>
      </c>
      <c r="B149" s="7" t="inlineStr">
        <is>
          <t>(jika peranti steril) Produk dimeterai dalam sistem penghalang steril yang utuh sebelum pensterilan terminal, dan integriti meterai diperiksa selepas pensterilan.</t>
        </is>
      </c>
      <c r="C149" s="7" t="inlineStr">
        <is>
          <t>MS 2636 kl. 4.15*, kl. 4.17*; MS ISO 13485</t>
        </is>
      </c>
      <c r="D149" s="7" t="inlineStr"/>
      <c r="E149" s="7" t="inlineStr"/>
      <c r="F149" t="inlineStr">
        <is>
          <t>G</t>
        </is>
      </c>
    </row>
    <row r="150">
      <c r="A150" s="7" t="inlineStr">
        <is>
          <t>G13</t>
        </is>
      </c>
      <c r="B150" s="7" t="inlineStr">
        <is>
          <t>Kawalan kualiti halal sebelum pelepasan: rekod kelompok disemak bagi memastikan hanya bahan yang diluluskan digunakan sebelum produk dilepaskan sebagai halal.</t>
        </is>
      </c>
      <c r="C150" s="7" t="inlineStr">
        <is>
          <t>MS 2636 kl. 4.5*</t>
        </is>
      </c>
      <c r="D150" s="7" t="inlineStr"/>
      <c r="E150" s="7" t="inlineStr"/>
      <c r="F150" t="inlineStr">
        <is>
          <t>G</t>
        </is>
      </c>
    </row>
    <row r="151">
      <c r="A151" s="7" t="inlineStr">
        <is>
          <t>G14</t>
        </is>
      </c>
      <c r="B151" s="7" t="inlineStr">
        <is>
          <t>Produk tidak akur, termasuk produk yang terlibat dengan isu halal (cth. bahan yang tidak diluluskan telah digunakan), dikenal pasti, diasingkan dan tidak dilepaskan sebagai halal, dan keputusan pelupusannya direkod.</t>
        </is>
      </c>
      <c r="C151" s="7" t="inlineStr">
        <is>
          <t>MS 2636 kl. 4.5*; MPPHM 17(4)(b)</t>
        </is>
      </c>
      <c r="D151" s="7" t="inlineStr"/>
      <c r="E151" s="7" t="inlineStr"/>
      <c r="F151" t="inlineStr">
        <is>
          <t>G</t>
        </is>
      </c>
    </row>
    <row r="152">
      <c r="A152" s="7" t="inlineStr">
        <is>
          <t>G15</t>
        </is>
      </c>
      <c r="B152" s="7" t="inlineStr">
        <is>
          <t>HAS (jika berkaitan): prosedur analisis makmal bertulis tersedia. Analisis bagi bahan kritikal yang diragui (cth. pengenalan spesies melalui DNA bagi kolagen, gelatin, heparin, catgut atau graf tulang, atau ujian kandungan alkohol) dibuat di MyHAC, Jabatan Kimia Malaysia atau makmal panel yang dilantik JAKIM, dan rekodnya disimpan.</t>
        </is>
      </c>
      <c r="C152" s="7" t="inlineStr">
        <is>
          <t>MHMS 5(11) (Analisis Makmal)</t>
        </is>
      </c>
      <c r="D152" s="7" t="inlineStr"/>
      <c r="E152" s="7" t="inlineStr"/>
      <c r="F152" t="inlineStr">
        <is>
          <t>G</t>
        </is>
      </c>
    </row>
    <row r="153">
      <c r="A153" s="7" t="inlineStr">
        <is>
          <t>G16</t>
        </is>
      </c>
      <c r="B153" s="7" t="inlineStr">
        <is>
          <t>Sampel bahan atau produk disediakan apabila diminta oleh pihak berkuasa untuk analisis makmal.</t>
        </is>
      </c>
      <c r="C153" s="7" t="inlineStr">
        <is>
          <t>MPPHM 52-55</t>
        </is>
      </c>
      <c r="D153" s="7" t="inlineStr"/>
      <c r="E153" s="7" t="inlineStr"/>
      <c r="F153" t="inlineStr">
        <is>
          <t>G</t>
        </is>
      </c>
    </row>
    <row r="154">
      <c r="A154" s="4" t="inlineStr">
        <is>
          <t>Bahagian H: Pembungkusan, Pelabelan, Logo Halal &amp; Iklan</t>
        </is>
      </c>
      <c r="B154" s="5" t="n"/>
      <c r="C154" s="5" t="n"/>
      <c r="D154" s="5" t="n"/>
      <c r="E154" s="6" t="n"/>
    </row>
    <row r="155" ht="26" customHeight="1">
      <c r="A155" s="2" t="inlineStr">
        <is>
          <t>Periksa bahan pembungkusan, label dan arahan penggunaan, kawalan stok label dan sijil SPHM, serta katalog, laman web dan iklan peranti.</t>
        </is>
      </c>
    </row>
    <row r="156">
      <c r="A156" s="7" t="inlineStr">
        <is>
          <t>H1</t>
        </is>
      </c>
      <c r="B156" s="7" t="inlineStr">
        <is>
          <t>Bahan pembungkusan (cth. kantung, dulang, Tyvek, kertas gred perubatan, pelekat, dakwat) halal, tidak mencemari produk dan selamat, dan dokumen sumbernya ada dalam senarai induk.</t>
        </is>
      </c>
      <c r="C156" s="7" t="inlineStr">
        <is>
          <t>MPPHM 17(6)(a); MS 2636 kl. 4.17*</t>
        </is>
      </c>
      <c r="D156" s="7" t="inlineStr"/>
      <c r="E156" s="7" t="inlineStr"/>
      <c r="F156" t="inlineStr">
        <is>
          <t>H</t>
        </is>
      </c>
    </row>
    <row r="157">
      <c r="A157" s="7" t="inlineStr">
        <is>
          <t>H2</t>
        </is>
      </c>
      <c r="B157" s="7" t="inlineStr">
        <is>
          <t>Reka bentuk bungkusan dan label tidak bercanggah dengan Hukum Syarak, dan tidak memaparkan gambar haiwan najis mughallazah atau unsur negatif.</t>
        </is>
      </c>
      <c r="C157" s="7" t="inlineStr">
        <is>
          <t>MPPHM 17(6)(b), 17(6)(d)</t>
        </is>
      </c>
      <c r="D157" s="7" t="inlineStr"/>
      <c r="E157" s="7" t="inlineStr"/>
      <c r="F157" t="inlineStr">
        <is>
          <t>H</t>
        </is>
      </c>
    </row>
    <row r="158">
      <c r="A158" s="7" t="inlineStr">
        <is>
          <t>H3</t>
        </is>
      </c>
      <c r="B158" s="7" t="inlineStr">
        <is>
          <t>Label, bungkusan dan bahan promosi tidak menggunakan nama Allah, ayat al-Quran atau istilah dan simbol keagamaan untuk menggambarkan bahawa produk itu halal.</t>
        </is>
      </c>
      <c r="C158" s="7" t="inlineStr">
        <is>
          <t>MPPHM 17(6)(c); Perintah Takrif Halal 2011 perenggan 4</t>
        </is>
      </c>
      <c r="D158" s="7" t="inlineStr"/>
      <c r="E158" s="7" t="inlineStr"/>
      <c r="F158" t="inlineStr">
        <is>
          <t>H</t>
        </is>
      </c>
    </row>
    <row r="159">
      <c r="A159" s="7" t="inlineStr">
        <is>
          <t>H4</t>
        </is>
      </c>
      <c r="B159" s="7" t="inlineStr">
        <is>
          <t>Nama produk pada label sama dengan nama yang diisytiharkan dalam MYeHALAL.</t>
        </is>
      </c>
      <c r="C159" s="7" t="inlineStr">
        <is>
          <t>MPPHM 17(6)(e), 17(2)(c)</t>
        </is>
      </c>
      <c r="D159" s="7" t="inlineStr"/>
      <c r="E159" s="7" t="inlineStr"/>
      <c r="F159" t="inlineStr">
        <is>
          <t>H</t>
        </is>
      </c>
    </row>
    <row r="160">
      <c r="A160" s="7" t="inlineStr">
        <is>
          <t>H5</t>
        </is>
      </c>
      <c r="B160" s="7" t="inlineStr">
        <is>
          <t>Cetakan label jelas dan kekal, dan tidak tanggal atau pudar, termasuk selepas pensterilan.</t>
        </is>
      </c>
      <c r="C160" s="7" t="inlineStr">
        <is>
          <t>MPPHM 17(6)(f)</t>
        </is>
      </c>
      <c r="D160" s="7" t="inlineStr"/>
      <c r="E160" s="7" t="inlineStr"/>
      <c r="F160" t="inlineStr">
        <is>
          <t>H</t>
        </is>
      </c>
    </row>
    <row r="161">
      <c r="A161" s="7" t="inlineStr">
        <is>
          <t>H6</t>
        </is>
      </c>
      <c r="B161" s="7" t="inlineStr">
        <is>
          <t>Label peranti yang diproses atau dibungkus di Malaysia menggunakan Bahasa Melayu (terjemahan dibenarkan). Peranti kegunaan di rumah dilabel dalam Bahasa Melayu dan Bahasa Inggeris mengikut keperluan MDA.</t>
        </is>
      </c>
      <c r="C161" s="7" t="inlineStr">
        <is>
          <t>MPPHM 17(6)(i); MDA/GD/0026</t>
        </is>
      </c>
      <c r="D161" s="7" t="inlineStr"/>
      <c r="E161" s="7" t="inlineStr"/>
      <c r="F161" t="inlineStr">
        <is>
          <t>H</t>
        </is>
      </c>
    </row>
    <row r="162">
      <c r="A162" s="7" t="inlineStr">
        <is>
          <t>H7</t>
        </is>
      </c>
      <c r="B162" s="7" t="inlineStr">
        <is>
          <t>Label memaparkan nama produk, nama dan alamat pemegang SPHM, serta Logo Halal Malaysia bersama nombor MS (MS 2636) dan 10 digit akhir nombor rujukan fail.</t>
        </is>
      </c>
      <c r="C162" s="7" t="inlineStr">
        <is>
          <t>MPPHM 17(6)(j)</t>
        </is>
      </c>
      <c r="D162" s="7" t="inlineStr"/>
      <c r="E162" s="7" t="inlineStr"/>
      <c r="F162" t="inlineStr">
        <is>
          <t>H</t>
        </is>
      </c>
    </row>
    <row r="163">
      <c r="A163" s="7" t="inlineStr">
        <is>
          <t>H8</t>
        </is>
      </c>
      <c r="B163" s="7" t="inlineStr">
        <is>
          <t>Label dan arahan penggunaan mematuhi keperluan pelabelan MDA (termasuk nombor pendaftaran peranti) dan sama dengan pelabelan yang dikemukakan semasa pendaftaran.</t>
        </is>
      </c>
      <c r="C163" s="7" t="inlineStr">
        <is>
          <t>Akta 737 s. 4(c); PPP 2012; MDA/GD/0026; MPPHM 17(6)(h)</t>
        </is>
      </c>
      <c r="D163" s="7" t="inlineStr"/>
      <c r="E163" s="7" t="inlineStr"/>
      <c r="F163" t="inlineStr">
        <is>
          <t>H</t>
        </is>
      </c>
    </row>
    <row r="164">
      <c r="A164" s="7" t="inlineStr">
        <is>
          <t>H9</t>
        </is>
      </c>
      <c r="B164" s="7" t="inlineStr">
        <is>
          <t>Logo Halal Malaysia digunakan hanya bagi peranti yang disahkan halal, mengikut bentuk dan ciri yang ditetapkan tanpa diubah, sama ada pada peranti atau pada bungkusannya.</t>
        </is>
      </c>
      <c r="C164" s="7" t="inlineStr">
        <is>
          <t>MPPHM 40, 41; Perintah Perakuan &amp; Penandaan Halal 2011 perenggan 4(1), 6; MS 2636 kl. 7*</t>
        </is>
      </c>
      <c r="D164" s="7" t="inlineStr"/>
      <c r="E164" s="7" t="inlineStr"/>
      <c r="F164" t="inlineStr">
        <is>
          <t>H</t>
        </is>
      </c>
    </row>
    <row r="165">
      <c r="A165" s="7" t="inlineStr">
        <is>
          <t>H10</t>
        </is>
      </c>
      <c r="B165" s="7" t="inlineStr">
        <is>
          <t>Stok label dan bungkusan berlogo halal disimpan di kawasan terkawal, dan bilangannya diselaraskan bagi setiap kelompok (dikeluarkan, digunakan dan dimusnahkan). Label lama atau tidak sah dimusnahkan dan direkod.</t>
        </is>
      </c>
      <c r="C165" s="7" t="inlineStr">
        <is>
          <t>MS 2636 kl. 4.17*; MPPHM 41</t>
        </is>
      </c>
      <c r="D165" s="7" t="inlineStr"/>
      <c r="E165" s="7" t="inlineStr"/>
      <c r="F165" t="inlineStr">
        <is>
          <t>H</t>
        </is>
      </c>
    </row>
    <row r="166">
      <c r="A166" s="7" t="inlineStr">
        <is>
          <t>H11</t>
        </is>
      </c>
      <c r="B166" s="7" t="inlineStr">
        <is>
          <t>Tiada pernyataan halal buatan sendiri atau ungkapan lain yang membayangkan peranti boleh digunakan oleh orang Islam (cth. 'halal', 'patuh syariah', 'mesra Muslim') pada label, katalog atau laman web bagi peranti yang tidak disijilkan.</t>
        </is>
      </c>
      <c r="C166" s="7" t="inlineStr">
        <is>
          <t>APD 2011 s. 28, 29; Perintah Takrif Halal 2011 perenggan 4; Perintah Perakuan &amp; Penandaan Halal 2011 perenggan 4(1)</t>
        </is>
      </c>
      <c r="D166" s="7" t="inlineStr"/>
      <c r="E166" s="7" t="inlineStr"/>
      <c r="F166" t="inlineStr">
        <is>
          <t>H</t>
        </is>
      </c>
    </row>
    <row r="167">
      <c r="A167" s="7" t="inlineStr">
        <is>
          <t>H12</t>
        </is>
      </c>
      <c r="B167" s="7" t="inlineStr">
        <is>
          <t>Tuntutan pada label dan bahan promosi mematuhi peraturan pihak berkuasa: iklan peranti mendapat kelulusan MDA dan menyatakan nombor pendaftaran.</t>
        </is>
      </c>
      <c r="C167" s="7" t="inlineStr">
        <is>
          <t>MPPHM 17(6)(g); Akta 737 s. 44; PPP Pengiklanan 2019</t>
        </is>
      </c>
      <c r="D167" s="7" t="inlineStr"/>
      <c r="E167" s="7" t="inlineStr"/>
      <c r="F167" t="inlineStr">
        <is>
          <t>H</t>
        </is>
      </c>
    </row>
    <row r="168">
      <c r="A168" s="7" t="inlineStr">
        <is>
          <t>H13</t>
        </is>
      </c>
      <c r="B168" s="7" t="inlineStr">
        <is>
          <t>Sijil SPHM yang sah dipamerkan atau disimpan di premis, dan hanya digunakan bagi premis serta peranti dalam skop yang diluluskan, termasuk dalam katalog dan dokumen tender.</t>
        </is>
      </c>
      <c r="C168" s="7" t="inlineStr">
        <is>
          <t>MPPHM 34-36; MS 2636 kl. 6*</t>
        </is>
      </c>
      <c r="D168" s="7" t="inlineStr"/>
      <c r="E168" s="7" t="inlineStr"/>
      <c r="F168" t="inlineStr">
        <is>
          <t>H</t>
        </is>
      </c>
    </row>
    <row r="169">
      <c r="A169" s="4" t="inlineStr">
        <is>
          <t>Bahagian I: Pengangkutan &amp; Pengedaran</t>
        </is>
      </c>
      <c r="B169" s="5" t="n"/>
      <c r="C169" s="5" t="n"/>
      <c r="D169" s="5" t="n"/>
      <c r="E169" s="6" t="n"/>
    </row>
    <row r="170" ht="26" customHeight="1">
      <c r="A170" s="2" t="inlineStr">
        <is>
          <t>Periksa kenderaan di kawasan penerimaan dan penghantaran, rekod pemeriksaan kenderaan, kontrak pengangkutan dan rekod pengedaran.</t>
        </is>
      </c>
    </row>
    <row r="171">
      <c r="A171" s="7" t="inlineStr">
        <is>
          <t>I1</t>
        </is>
      </c>
      <c r="B171" s="7" t="inlineStr">
        <is>
          <t>Kenderaan pembekal yang menghantar bahan diperiksa semasa penerimaan (bersih, tiada muatan bercampur dengan barang tidak halal), dan rekod pemeriksaan disimpan.</t>
        </is>
      </c>
      <c r="C171" s="7" t="inlineStr">
        <is>
          <t>MPPHM 17(7)(c); MS 2636 kl. 4.11*</t>
        </is>
      </c>
      <c r="D171" s="7" t="inlineStr"/>
      <c r="E171" s="7" t="inlineStr"/>
      <c r="F171" t="inlineStr">
        <is>
          <t>I</t>
        </is>
      </c>
    </row>
    <row r="172">
      <c r="A172" s="7" t="inlineStr">
        <is>
          <t>I2</t>
        </is>
      </c>
      <c r="B172" s="7" t="inlineStr">
        <is>
          <t>Kenderaan syarikat dan pihak ketiga hanya membawa bahan dan produk halal, tanpa muatan bercampur dengan barang tidak halal (cth. produk babi atau minuman beralkohol).</t>
        </is>
      </c>
      <c r="C172" s="7" t="inlineStr">
        <is>
          <t>MPPHM 17(7)(a); MS 2636 kl. 4.11*</t>
        </is>
      </c>
      <c r="D172" s="7" t="inlineStr"/>
      <c r="E172" s="7" t="inlineStr"/>
      <c r="F172" t="inlineStr">
        <is>
          <t>I</t>
        </is>
      </c>
    </row>
    <row r="173">
      <c r="A173" s="7" t="inlineStr">
        <is>
          <t>I3</t>
        </is>
      </c>
      <c r="B173" s="7" t="inlineStr">
        <is>
          <t>Kenderaan sesuai dengan sifat produk (cth. kawalan suhu bagi bahan biologi atau formulasi cecair, dan bungkusan steril dilindungi daripada rosak atau lembap).</t>
        </is>
      </c>
      <c r="C173" s="7" t="inlineStr">
        <is>
          <t>MPPHM 17(7)(b)</t>
        </is>
      </c>
      <c r="D173" s="7" t="inlineStr"/>
      <c r="E173" s="7" t="inlineStr"/>
      <c r="F173" t="inlineStr">
        <is>
          <t>I</t>
        </is>
      </c>
    </row>
    <row r="174">
      <c r="A174" s="7" t="inlineStr">
        <is>
          <t>I4</t>
        </is>
      </c>
      <c r="B174" s="7" t="inlineStr">
        <is>
          <t>Kebersihan kenderaan diperiksa dan direkod sebelum produk siap dimuatkan.</t>
        </is>
      </c>
      <c r="C174" s="7" t="inlineStr">
        <is>
          <t>MPPHM 17(7)(c)</t>
        </is>
      </c>
      <c r="D174" s="7" t="inlineStr"/>
      <c r="E174" s="7" t="inlineStr"/>
      <c r="F174" t="inlineStr">
        <is>
          <t>I</t>
        </is>
      </c>
    </row>
    <row r="175">
      <c r="A175" s="7" t="inlineStr">
        <is>
          <t>I5</t>
        </is>
      </c>
      <c r="B175" s="7" t="inlineStr">
        <is>
          <t>(jika ada) Pengangkutan pihak ketiga menggunakan kontrak bertulis yang menyatakan keperluan halal, dan penyedia logistik yang memegang SPHM diutamakan.</t>
        </is>
      </c>
      <c r="C175" s="7" t="inlineStr">
        <is>
          <t>MPPHM 17(7)(d); MHMS 5(6)(c)</t>
        </is>
      </c>
      <c r="D175" s="7" t="inlineStr"/>
      <c r="E175" s="7" t="inlineStr"/>
      <c r="F175" t="inlineStr">
        <is>
          <t>I</t>
        </is>
      </c>
    </row>
    <row r="176">
      <c r="A176" s="7" t="inlineStr">
        <is>
          <t>I6</t>
        </is>
      </c>
      <c r="B176" s="7" t="inlineStr">
        <is>
          <t>Kenderaan dan operasi pengangkutan mematuhi undang-undang yang berkaitan (cth. permit kenderaan perdagangan yang sah, dan keperluan pengangkutan barang berbahaya bagi gas atau bahan kimia).</t>
        </is>
      </c>
      <c r="C176" s="7" t="inlineStr">
        <is>
          <t>MPPHM 17(7)(e)</t>
        </is>
      </c>
      <c r="D176" s="7" t="inlineStr"/>
      <c r="E176" s="7" t="inlineStr"/>
      <c r="F176" t="inlineStr">
        <is>
          <t>I</t>
        </is>
      </c>
    </row>
    <row r="177">
      <c r="A177" s="7" t="inlineStr">
        <is>
          <t>I7</t>
        </is>
      </c>
      <c r="B177" s="7" t="inlineStr">
        <is>
          <t>Rekod pengedaran (pelanggan, kuantiti, nombor lot atau siri, tarikh) disimpan bagi setiap peranti untuk membolehkan pengesanan ke hadapan dan penarikan balik.</t>
        </is>
      </c>
      <c r="C177" s="7" t="inlineStr">
        <is>
          <t>Akta 737 s. 37; PPP Kewajipan Establismen 2019; MHMS 5(9)</t>
        </is>
      </c>
      <c r="D177" s="7" t="inlineStr"/>
      <c r="E177" s="7" t="inlineStr"/>
      <c r="F177" t="inlineStr">
        <is>
          <t>I</t>
        </is>
      </c>
    </row>
    <row r="178">
      <c r="A178" s="4" t="inlineStr">
        <is>
          <t>Bahagian J: Aktiviti Penyumberan Luar (Pensterilan Kontrak, OEM &amp; Perkhidmatan)</t>
        </is>
      </c>
      <c r="B178" s="5" t="n"/>
      <c r="C178" s="5" t="n"/>
      <c r="D178" s="5" t="n"/>
      <c r="E178" s="6" t="n"/>
    </row>
    <row r="179" ht="26" customHeight="1">
      <c r="A179" s="2" t="inlineStr">
        <is>
          <t>Semak senarai aktiviti yang disumber luar, perjanjian bertulis, sijil halal dan rekod penilaian penyedia, serta dokumen penghantaran dan penerimaan semula produk.</t>
        </is>
      </c>
    </row>
    <row r="180">
      <c r="A180" s="7" t="inlineStr">
        <is>
          <t>J1</t>
        </is>
      </c>
      <c r="B180" s="7" t="inlineStr">
        <is>
          <t>Senarai semua aktiviti yang disumber luar tersedia (cth. pengilangan kontrak, pensterilan, salutan, pembungkusan, ujian makmal, dobi pakaian bilik bersih, kawalan perosak).</t>
        </is>
      </c>
      <c r="C180" s="7" t="inlineStr">
        <is>
          <t>MS 2636 kl. 4.18*</t>
        </is>
      </c>
      <c r="D180" s="7" t="inlineStr"/>
      <c r="E180" s="7" t="inlineStr"/>
      <c r="F180" t="inlineStr">
        <is>
          <t>J</t>
        </is>
      </c>
    </row>
    <row r="181">
      <c r="A181" s="7" t="inlineStr">
        <is>
          <t>J2</t>
        </is>
      </c>
      <c r="B181" s="7" t="inlineStr">
        <is>
          <t>Perjanjian bertulis dengan setiap penyedia dalam senarai menyatakan keperluan halal dan tanggungjawab setiap pihak (cth. bahan yang dibenarkan, larangan sentuhan dengan bahan tidak halal, pemakluman perubahan, hak audit).</t>
        </is>
      </c>
      <c r="C181" s="7" t="inlineStr">
        <is>
          <t>MS 2636 kl. 4.18*</t>
        </is>
      </c>
      <c r="D181" s="7" t="inlineStr"/>
      <c r="E181" s="7" t="inlineStr"/>
      <c r="F181" t="inlineStr">
        <is>
          <t>J</t>
        </is>
      </c>
    </row>
    <row r="182">
      <c r="A182" s="7" t="inlineStr">
        <is>
          <t>J3</t>
        </is>
      </c>
      <c r="B182" s="7" t="inlineStr">
        <is>
          <t>(jika ada) Pengilang kontrak yang mengeluarkan peranti bagi pihak syarikat memegang SPHM yang sah di bawah skim Pengilangan Kontrak/OEM.</t>
        </is>
      </c>
      <c r="C182" s="7" t="inlineStr">
        <is>
          <t>MPPHM 17(17)(b)</t>
        </is>
      </c>
      <c r="D182" s="7" t="inlineStr"/>
      <c r="E182" s="7" t="inlineStr"/>
      <c r="F182" t="inlineStr">
        <is>
          <t>J</t>
        </is>
      </c>
    </row>
    <row r="183">
      <c r="A183" s="7" t="inlineStr">
        <is>
          <t>J4</t>
        </is>
      </c>
      <c r="B183" s="7" t="inlineStr">
        <is>
          <t>(jika ada) Pensterilan kontrak (etilena oksida, gama atau alur elektron): penyedia telah dinilai, produk tidak disterilkan bersama atau bersentuhan dengan bahan tidak halal, dan sijil pensterilan serta rekod beban diterima bagi setiap kelompok.</t>
        </is>
      </c>
      <c r="C183" s="7" t="inlineStr">
        <is>
          <t>MS 2636 kl. 4.18*, kl. 4.15*; MHMS 5(6)(a)(iii)</t>
        </is>
      </c>
      <c r="D183" s="7" t="inlineStr"/>
      <c r="E183" s="7" t="inlineStr"/>
      <c r="F183" t="inlineStr">
        <is>
          <t>J</t>
        </is>
      </c>
    </row>
    <row r="184">
      <c r="A184" s="7" t="inlineStr">
        <is>
          <t>J5</t>
        </is>
      </c>
      <c r="B184" s="7" t="inlineStr">
        <is>
          <t>(jika ada bilik bersih) Dobi pakaian bilik bersih (dalaman atau luar) menggunakan bahan pencuci yang status halalnya disahkan, dan pakaian tidak dicuci bersama barang yang tercemar najis.</t>
        </is>
      </c>
      <c r="C184" s="7" t="inlineStr">
        <is>
          <t>MS 2636 kl. 4.18*, kl. 4.8*</t>
        </is>
      </c>
      <c r="D184" s="7" t="inlineStr"/>
      <c r="E184" s="7" t="inlineStr"/>
      <c r="F184" t="inlineStr">
        <is>
          <t>J</t>
        </is>
      </c>
    </row>
    <row r="185">
      <c r="A185" s="7" t="inlineStr">
        <is>
          <t>J6</t>
        </is>
      </c>
      <c r="B185" s="7" t="inlineStr">
        <is>
          <t>Penyedia tidak menyumber luar semula aktiviti itu kepada pihak lain tanpa kelulusan bertulis syarikat.</t>
        </is>
      </c>
      <c r="C185" s="7" t="inlineStr">
        <is>
          <t>MS 2636 kl. 4.18*</t>
        </is>
      </c>
      <c r="D185" s="7" t="inlineStr"/>
      <c r="E185" s="7" t="inlineStr"/>
      <c r="F185" t="inlineStr">
        <is>
          <t>J</t>
        </is>
      </c>
    </row>
    <row r="186">
      <c r="A186" s="7" t="inlineStr">
        <is>
          <t>J7</t>
        </is>
      </c>
      <c r="B186" s="7" t="inlineStr">
        <is>
          <t>Prestasi dan pematuhan halal penyedia dipantau (cth. melalui audit pembekal dan semakan sijil halal serta dokumen), dan pemantauan itu direkod.</t>
        </is>
      </c>
      <c r="C186" s="7" t="inlineStr">
        <is>
          <t>MS 2636 kl. 4.18*; MHMS 5(5)(k)</t>
        </is>
      </c>
      <c r="D186" s="7" t="inlineStr"/>
      <c r="E186" s="7" t="inlineStr"/>
      <c r="F186" t="inlineStr">
        <is>
          <t>J</t>
        </is>
      </c>
    </row>
    <row r="187">
      <c r="A187" s="7" t="inlineStr">
        <is>
          <t>J8</t>
        </is>
      </c>
      <c r="B187" s="7" t="inlineStr">
        <is>
          <t>Produk yang diterima semula daripada penyedia (cth. selepas pensterilan atau salutan) diperiksa, kuantitinya diselaraskan dengan dokumen penghantaran, dan produk dikesan mengikut nombor lot.</t>
        </is>
      </c>
      <c r="C187" s="7" t="inlineStr">
        <is>
          <t>MS 2636 kl. 4.18*; MHMS 5(9)</t>
        </is>
      </c>
      <c r="D187" s="7" t="inlineStr"/>
      <c r="E187" s="7" t="inlineStr"/>
      <c r="F187" t="inlineStr">
        <is>
          <t>J</t>
        </is>
      </c>
    </row>
    <row r="188">
      <c r="A188" s="4" t="inlineStr">
        <is>
          <t>Bahagian K: Kebersihan, Sanitasi, Kawalan Perosak &amp; Sertu</t>
        </is>
      </c>
      <c r="B188" s="5" t="n"/>
      <c r="C188" s="5" t="n"/>
      <c r="D188" s="5" t="n"/>
      <c r="E188" s="6" t="n"/>
    </row>
    <row r="189" ht="26" customHeight="1">
      <c r="A189" s="2" t="inlineStr">
        <is>
          <t>Periksa jadual dan rekod pembersihan, bahan pencuci dan pembasmi kuman, kemudahan basuh tangan, tandas, tong sampah dan kawasan sisa, serta rekod kawalan perosak dan sertu.</t>
        </is>
      </c>
    </row>
    <row r="190">
      <c r="A190" s="7" t="inlineStr">
        <is>
          <t>K1</t>
        </is>
      </c>
      <c r="B190" s="7" t="inlineStr">
        <is>
          <t>Kawasan pengeluaran dan bilik bersih dibersihkan mengikut jadual dan prosedur bertulis, dan rekod pembersihan lengkap.</t>
        </is>
      </c>
      <c r="C190" s="7" t="inlineStr">
        <is>
          <t>MPPHM 17(10)(a); MS 2636 kl. 4.9*</t>
        </is>
      </c>
      <c r="D190" s="7" t="inlineStr"/>
      <c r="E190" s="7" t="inlineStr"/>
      <c r="F190" t="inlineStr">
        <is>
          <t>K</t>
        </is>
      </c>
    </row>
    <row r="191">
      <c r="A191" s="7" t="inlineStr">
        <is>
          <t>K2</t>
        </is>
      </c>
      <c r="B191" s="7" t="inlineStr">
        <is>
          <t>Bahan pencuci, sabun dan pembasmi kuman (cth. sebatian ammonium kuaterner, hidrogen peroksida, pencuci enzim) mempunyai sijil halal atau dokumen sumber, dan tidak mengandungi bahan bersumber babi atau najis.</t>
        </is>
      </c>
      <c r="C191" s="7" t="inlineStr">
        <is>
          <t>MS 2636 kl. 4.9*; MPPHM 17(1)(d); MHMS 5(7)(e)</t>
        </is>
      </c>
      <c r="D191" s="7" t="inlineStr"/>
      <c r="E191" s="7" t="inlineStr"/>
      <c r="F191" t="inlineStr">
        <is>
          <t>K</t>
        </is>
      </c>
    </row>
    <row r="192">
      <c r="A192" s="7" t="inlineStr">
        <is>
          <t>K3</t>
        </is>
      </c>
      <c r="B192" s="7" t="inlineStr">
        <is>
          <t>Pembasmi kuman dan pembersih tangan berasaskan alkohol menggunakan etanol atau isopropil alkohol yang tidak diperoleh daripada proses pembuatan arak, dan dokumen sumbernya tersedia.</t>
        </is>
      </c>
      <c r="C192" s="7" t="inlineStr">
        <is>
          <t>MPPHM 17(16)(b); MS 2636 kl. 4.9*</t>
        </is>
      </c>
      <c r="D192" s="7" t="inlineStr"/>
      <c r="E192" s="7" t="inlineStr"/>
      <c r="F192" t="inlineStr">
        <is>
          <t>K</t>
        </is>
      </c>
    </row>
    <row r="193">
      <c r="A193" s="7" t="inlineStr">
        <is>
          <t>K4</t>
        </is>
      </c>
      <c r="B193" s="7" t="inlineStr">
        <is>
          <t>Kawasan sekitar premis bersih dan bebas daripada faktor pencemaran (cth. sampah, air bertakung, semak).</t>
        </is>
      </c>
      <c r="C193" s="7" t="inlineStr">
        <is>
          <t>MPPHM 17(10)(b)</t>
        </is>
      </c>
      <c r="D193" s="7" t="inlineStr"/>
      <c r="E193" s="7" t="inlineStr"/>
      <c r="F193" t="inlineStr">
        <is>
          <t>K</t>
        </is>
      </c>
    </row>
    <row r="194">
      <c r="A194" s="7" t="inlineStr">
        <is>
          <t>K5</t>
        </is>
      </c>
      <c r="B194" s="7" t="inlineStr">
        <is>
          <t>Kawalan perosak dibuat secara berkala oleh kontraktor atau pasukan dalaman. Pelan lokasi umpan, laporan pemeriksaan dan tindakan susulan direkod.</t>
        </is>
      </c>
      <c r="C194" s="7" t="inlineStr">
        <is>
          <t>MPPHM 17(10)(c)</t>
        </is>
      </c>
      <c r="D194" s="7" t="inlineStr"/>
      <c r="E194" s="7" t="inlineStr"/>
      <c r="F194" t="inlineStr">
        <is>
          <t>K</t>
        </is>
      </c>
    </row>
    <row r="195">
      <c r="A195" s="7" t="inlineStr">
        <is>
          <t>K6</t>
        </is>
      </c>
      <c r="B195" s="7" t="inlineStr">
        <is>
          <t>Kemudahan basuh tangan (termasuk di pintu masuk bilik persalinan) berfungsi dan dilengkapi sabun serta tisu atau pengering tangan.</t>
        </is>
      </c>
      <c r="C195" s="7" t="inlineStr">
        <is>
          <t>MPPHM 17(10)(d)</t>
        </is>
      </c>
      <c r="D195" s="7" t="inlineStr"/>
      <c r="E195" s="7" t="inlineStr"/>
      <c r="F195" t="inlineStr">
        <is>
          <t>K</t>
        </is>
      </c>
    </row>
    <row r="196">
      <c r="A196" s="7" t="inlineStr">
        <is>
          <t>K7</t>
        </is>
      </c>
      <c r="B196" s="7" t="inlineStr">
        <is>
          <t>Tong sampah mencukupi, bertutup dan dalam keadaan baik (jenis injak kaki atau tanpa sentuh digalakkan).</t>
        </is>
      </c>
      <c r="C196" s="7" t="inlineStr">
        <is>
          <t>MPPHM 17(10)(e)</t>
        </is>
      </c>
      <c r="D196" s="7" t="inlineStr"/>
      <c r="E196" s="7" t="inlineStr"/>
      <c r="F196" t="inlineStr">
        <is>
          <t>K</t>
        </is>
      </c>
    </row>
    <row r="197">
      <c r="A197" s="7" t="inlineStr">
        <is>
          <t>K8</t>
        </is>
      </c>
      <c r="B197" s="7" t="inlineStr">
        <is>
          <t>Tandas mencukupi, bersih dan tidak berbau, tidak membuka terus ke kawasan pengeluaran atau penyimpanan, dan mempunyai prosedur pembersihan.</t>
        </is>
      </c>
      <c r="C197" s="7" t="inlineStr">
        <is>
          <t>MPPHM 17(10)(f); MS 2636 kl. 4.13*</t>
        </is>
      </c>
      <c r="D197" s="7" t="inlineStr"/>
      <c r="E197" s="7" t="inlineStr"/>
      <c r="F197" t="inlineStr">
        <is>
          <t>K</t>
        </is>
      </c>
    </row>
    <row r="198">
      <c r="A198" s="7" t="inlineStr">
        <is>
          <t>K9</t>
        </is>
      </c>
      <c r="B198" s="7" t="inlineStr">
        <is>
          <t>Sisa proses, sisa kimia dan sisa terjadual dilupuskan mengikut prosedur dan undang-undang, dan rekod pelupusan disimpan.</t>
        </is>
      </c>
      <c r="C198" s="7" t="inlineStr">
        <is>
          <t>MPPHM 17(10)(g)</t>
        </is>
      </c>
      <c r="D198" s="7" t="inlineStr"/>
      <c r="E198" s="7" t="inlineStr"/>
      <c r="F198" t="inlineStr">
        <is>
          <t>K</t>
        </is>
      </c>
    </row>
    <row r="199">
      <c r="A199" s="7" t="inlineStr">
        <is>
          <t>K10</t>
        </is>
      </c>
      <c r="B199" s="7" t="inlineStr">
        <is>
          <t>Prosedur sertu bertulis (bagi HAS) selaras dengan garis panduan sertu JAKIM dan ketetapan MAIN/JAIN. Pekerja tahu tindakan yang perlu diambil jika berlaku pencemaran najis mughallazah.</t>
        </is>
      </c>
      <c r="C199" s="7" t="inlineStr">
        <is>
          <t>MHMS 5(12)(a), 5(12)(b) (Sertu); MPPHM 58; MS 2636 Lampiran A*</t>
        </is>
      </c>
      <c r="D199" s="7" t="inlineStr"/>
      <c r="E199" s="7" t="inlineStr"/>
      <c r="F199" t="inlineStr">
        <is>
          <t>K</t>
        </is>
      </c>
    </row>
    <row r="200">
      <c r="A200" s="7" t="inlineStr">
        <is>
          <t>K11</t>
        </is>
      </c>
      <c r="B200" s="7" t="inlineStr">
        <is>
          <t>Sertu dibuat dan direkod jika premis, peralatan, stor atau kenderaan tercemar najis mughallazah (cth. premis yang diambil alih daripada operasi tidak halal, atau selepas anjing atau babi masuk ke premis).</t>
        </is>
      </c>
      <c r="C200" s="7" t="inlineStr">
        <is>
          <t>MPPHM 17(4)(j), 17(5)(h), 17(7)(f), 17(8)(n); MHMS 5(12)(c); MS 2636 Lampiran A*</t>
        </is>
      </c>
      <c r="D200" s="7" t="inlineStr"/>
      <c r="E200" s="7" t="inlineStr"/>
      <c r="F200" t="inlineStr">
        <is>
          <t>K</t>
        </is>
      </c>
    </row>
    <row r="201">
      <c r="A201" s="4" t="inlineStr">
        <is>
          <t>Bahagian L: Pekerja, Kebersihan Diri &amp; Kemudahan Pekerja</t>
        </is>
      </c>
      <c r="B201" s="5" t="n"/>
      <c r="C201" s="5" t="n"/>
      <c r="D201" s="5" t="n"/>
      <c r="E201" s="6" t="n"/>
    </row>
    <row r="202" ht="26" customHeight="1">
      <c r="A202" s="2" t="inlineStr">
        <is>
          <t>Semak senarai pekerja dan jadual syif, perhatikan amalan persalinan dan kebersihan diri, temu bual pekerja, dan periksa loker, surau, bilik persalinan serta ruang rehat.</t>
        </is>
      </c>
    </row>
    <row r="203">
      <c r="A203" s="7" t="inlineStr">
        <is>
          <t>L1</t>
        </is>
      </c>
      <c r="B203" s="7" t="inlineStr">
        <is>
          <t>Bilangan pekerja Muslim (warganegara Malaysia atau bukan warganegara, tidak termasuk Eksekutif Halal dan Penyelia Halal) mencukupi mengikut keperluan kategori permohonan. Semak senarai pekerja dan jadual syif, dan sahkan bilangan minimum bagi skim ini dengan JAKIM/JAIN.</t>
        </is>
      </c>
      <c r="C203" s="7" t="inlineStr">
        <is>
          <t>MPPHM 17(9)(a), 3 (tafsiran Pekerja Muslim)</t>
        </is>
      </c>
      <c r="D203" s="7" t="inlineStr"/>
      <c r="E203" s="7" t="inlineStr"/>
      <c r="F203" t="inlineStr">
        <is>
          <t>L</t>
        </is>
      </c>
    </row>
    <row r="204">
      <c r="A204" s="7" t="inlineStr">
        <is>
          <t>L2</t>
        </is>
      </c>
      <c r="B204" s="7" t="inlineStr">
        <is>
          <t>Carta organisasi dan huraian tugas kakitangan utama (pengeluaran, kawalan kualiti, pembelian, gudang) menyatakan tanggungjawab berkaitan halal.</t>
        </is>
      </c>
      <c r="C204" s="7" t="inlineStr">
        <is>
          <t>MS 2636 kl. 4.6*</t>
        </is>
      </c>
      <c r="D204" s="7" t="inlineStr"/>
      <c r="E204" s="7" t="inlineStr"/>
      <c r="F204" t="inlineStr">
        <is>
          <t>L</t>
        </is>
      </c>
    </row>
    <row r="205">
      <c r="A205" s="7" t="inlineStr">
        <is>
          <t>L3</t>
        </is>
      </c>
      <c r="B205" s="7" t="inlineStr">
        <is>
          <t>Pengambilan pekerja (termasuk pekerja asing dan pekerja kontrak) mengikut undang-undang.</t>
        </is>
      </c>
      <c r="C205" s="7" t="inlineStr">
        <is>
          <t>MPPHM 17(9)(g)</t>
        </is>
      </c>
      <c r="D205" s="7" t="inlineStr"/>
      <c r="E205" s="7" t="inlineStr"/>
      <c r="F205" t="inlineStr">
        <is>
          <t>L</t>
        </is>
      </c>
    </row>
    <row r="206">
      <c r="A206" s="7" t="inlineStr">
        <is>
          <t>L4</t>
        </is>
      </c>
      <c r="B206" s="7" t="inlineStr">
        <is>
          <t>(jika ada bilik bersih) Prosedur persalinan bilik bersih bertulis dipamerkan di bilik persalinan dan dipatuhi mengikut turutan yang ditetapkan dalam prosedur itu (cth. penutup kepala dan janggut, penutup muka, pakaian bilik bersih, penutup kasut, sarung tangan, kemudian sanitasi tangan).</t>
        </is>
      </c>
      <c r="C206" s="7" t="inlineStr">
        <is>
          <t>MS 2636 kl. 4.8*; MPPHM 17(9)(e); MS ISO 13485</t>
        </is>
      </c>
      <c r="D206" s="7" t="inlineStr"/>
      <c r="E206" s="7" t="inlineStr"/>
      <c r="F206" t="inlineStr">
        <is>
          <t>L</t>
        </is>
      </c>
    </row>
    <row r="207">
      <c r="A207" s="7" t="inlineStr">
        <is>
          <t>L5</t>
        </is>
      </c>
      <c r="B207" s="7" t="inlineStr">
        <is>
          <t>Di kawasan pemprosesan selain bilik bersih, PPE yang sesuai (penutup kepala, sarung tangan, penutup muka, kaca mata keselamatan) disediakan dan dipakai.</t>
        </is>
      </c>
      <c r="C207" s="7" t="inlineStr">
        <is>
          <t>MPPHM 17(9)(e)</t>
        </is>
      </c>
      <c r="D207" s="7" t="inlineStr"/>
      <c r="E207" s="7" t="inlineStr"/>
      <c r="F207" t="inlineStr">
        <is>
          <t>L</t>
        </is>
      </c>
    </row>
    <row r="208">
      <c r="A208" s="7" t="inlineStr">
        <is>
          <t>L6</t>
        </is>
      </c>
      <c r="B208" s="7" t="inlineStr">
        <is>
          <t>Pekerja menjaga kebersihan diri (tangan bersih, kuku pendek, luka ditutup) dan memakai pakaian yang bersih serta sopan.</t>
        </is>
      </c>
      <c r="C208" s="7" t="inlineStr">
        <is>
          <t>MPPHM 17(9)(b), 17(9)(c); MS 2636 kl. 4.8*</t>
        </is>
      </c>
      <c r="D208" s="7" t="inlineStr"/>
      <c r="E208" s="7" t="inlineStr"/>
      <c r="F208" t="inlineStr">
        <is>
          <t>L</t>
        </is>
      </c>
    </row>
    <row r="209">
      <c r="A209" s="7" t="inlineStr">
        <is>
          <t>L7</t>
        </is>
      </c>
      <c r="B209" s="7" t="inlineStr">
        <is>
          <t>Pekerja yang sakit atau mempunyai luka terbuka melaporkan keadaan kesihatannya, dan tidak bekerja di bilik bersih atau dengan produk terdedah sehingga dibenarkan.</t>
        </is>
      </c>
      <c r="C209" s="7" t="inlineStr">
        <is>
          <t>MS 2636 kl. 4.8*; MS ISO 13485</t>
        </is>
      </c>
      <c r="D209" s="7" t="inlineStr"/>
      <c r="E209" s="7" t="inlineStr"/>
      <c r="F209" t="inlineStr">
        <is>
          <t>L</t>
        </is>
      </c>
    </row>
    <row r="210">
      <c r="A210" s="7" t="inlineStr">
        <is>
          <t>L8</t>
        </is>
      </c>
      <c r="B210" s="7" t="inlineStr">
        <is>
          <t>Tiada barang peribadi, barang kemas, makanan atau minuman dibawa ke kawasan pemprosesan dan bilik bersih.</t>
        </is>
      </c>
      <c r="C210" s="7" t="inlineStr">
        <is>
          <t>MPPHM 17(9)(d); MS 2636 kl. 4.8*</t>
        </is>
      </c>
      <c r="D210" s="7" t="inlineStr"/>
      <c r="E210" s="7" t="inlineStr"/>
      <c r="F210" t="inlineStr">
        <is>
          <t>L</t>
        </is>
      </c>
    </row>
    <row r="211">
      <c r="A211" s="7" t="inlineStr">
        <is>
          <t>L9</t>
        </is>
      </c>
      <c r="B211" s="7" t="inlineStr">
        <is>
          <t>Pekerja tidak merokok, meludah atau melakukan perbuatan yang boleh mencemarkan produk.</t>
        </is>
      </c>
      <c r="C211" s="7" t="inlineStr">
        <is>
          <t>MPPHM 17(9)(f)</t>
        </is>
      </c>
      <c r="D211" s="7" t="inlineStr"/>
      <c r="E211" s="7" t="inlineStr"/>
      <c r="F211" t="inlineStr">
        <is>
          <t>L</t>
        </is>
      </c>
    </row>
    <row r="212">
      <c r="A212" s="7" t="inlineStr">
        <is>
          <t>L10</t>
        </is>
      </c>
      <c r="B212" s="7" t="inlineStr">
        <is>
          <t>Pelawat dan kontraktor diberi taklimat tentang peraturan halal dan kebersihan, dan mematuhi prosedur persalinan sebelum memasuki kawasan pengeluaran.</t>
        </is>
      </c>
      <c r="C212" s="7" t="inlineStr">
        <is>
          <t>MS 2636 kl. 4.8*; MPPHM 17(8)(a)</t>
        </is>
      </c>
      <c r="D212" s="7" t="inlineStr"/>
      <c r="E212" s="7" t="inlineStr"/>
      <c r="F212" t="inlineStr">
        <is>
          <t>L</t>
        </is>
      </c>
    </row>
    <row r="213">
      <c r="A213" s="7" t="inlineStr">
        <is>
          <t>L11</t>
        </is>
      </c>
      <c r="B213" s="7" t="inlineStr">
        <is>
          <t>Kod etika pekerja tersedia dan diamalkan oleh pekerja.</t>
        </is>
      </c>
      <c r="C213" s="7" t="inlineStr">
        <is>
          <t>MPPHM 17(9)(h)</t>
        </is>
      </c>
      <c r="D213" s="7" t="inlineStr"/>
      <c r="E213" s="7" t="inlineStr"/>
      <c r="F213" t="inlineStr">
        <is>
          <t>L</t>
        </is>
      </c>
    </row>
    <row r="214">
      <c r="A214" s="7" t="inlineStr">
        <is>
          <t>L12</t>
        </is>
      </c>
      <c r="B214" s="7" t="inlineStr">
        <is>
          <t>Bilik atau ruang solat yang mencukupi dan terjaga disediakan di lokasi yang munasabah.</t>
        </is>
      </c>
      <c r="C214" s="7" t="inlineStr">
        <is>
          <t>MPPHM 17(11)(a)</t>
        </is>
      </c>
      <c r="D214" s="7" t="inlineStr"/>
      <c r="E214" s="7" t="inlineStr"/>
      <c r="F214" t="inlineStr">
        <is>
          <t>L</t>
        </is>
      </c>
    </row>
    <row r="215">
      <c r="A215" s="7" t="inlineStr">
        <is>
          <t>L13</t>
        </is>
      </c>
      <c r="B215" s="7" t="inlineStr">
        <is>
          <t>Pekerja Muslim diberi pelepasan dan masa yang munasabah untuk menunaikan solat fardu, termasuk solat Jumaat.</t>
        </is>
      </c>
      <c r="C215" s="7" t="inlineStr">
        <is>
          <t>MPPHM 17(11)(b)</t>
        </is>
      </c>
      <c r="D215" s="7" t="inlineStr"/>
      <c r="E215" s="7" t="inlineStr"/>
      <c r="F215" t="inlineStr">
        <is>
          <t>L</t>
        </is>
      </c>
    </row>
    <row r="216">
      <c r="A216" s="7" t="inlineStr">
        <is>
          <t>L14</t>
        </is>
      </c>
      <c r="B216" s="7" t="inlineStr">
        <is>
          <t>Bilik atau ruang persalinan disediakan untuk pekerja dengan sewajarnya.</t>
        </is>
      </c>
      <c r="C216" s="7" t="inlineStr">
        <is>
          <t>MPPHM 17(11)(c)</t>
        </is>
      </c>
      <c r="D216" s="7" t="inlineStr"/>
      <c r="E216" s="7" t="inlineStr"/>
      <c r="F216" t="inlineStr">
        <is>
          <t>L</t>
        </is>
      </c>
    </row>
    <row r="217">
      <c r="A217" s="7" t="inlineStr">
        <is>
          <t>L15</t>
        </is>
      </c>
      <c r="B217" s="7" t="inlineStr">
        <is>
          <t>Ruang rehat disediakan untuk pekerja.</t>
        </is>
      </c>
      <c r="C217" s="7" t="inlineStr">
        <is>
          <t>MPPHM 17(11)(d)</t>
        </is>
      </c>
      <c r="D217" s="7" t="inlineStr"/>
      <c r="E217" s="7" t="inlineStr"/>
      <c r="F217" t="inlineStr">
        <is>
          <t>L</t>
        </is>
      </c>
    </row>
    <row r="218">
      <c r="A218" s="7" t="inlineStr">
        <is>
          <t>L16</t>
        </is>
      </c>
      <c r="B218" s="7" t="inlineStr">
        <is>
          <t>Tempat menyimpan barang peribadi (loker) disediakan di luar kawasan pemprosesan.</t>
        </is>
      </c>
      <c r="C218" s="7" t="inlineStr">
        <is>
          <t>MPPHM 17(11)(e)</t>
        </is>
      </c>
      <c r="D218" s="7" t="inlineStr"/>
      <c r="E218" s="7" t="inlineStr"/>
      <c r="F218" t="inlineStr">
        <is>
          <t>L</t>
        </is>
      </c>
    </row>
    <row r="219">
      <c r="A219" s="4" t="inlineStr">
        <is>
          <t>Bahagian M: Latihan Halal</t>
        </is>
      </c>
      <c r="B219" s="5" t="n"/>
      <c r="C219" s="5" t="n"/>
      <c r="D219" s="5" t="n"/>
      <c r="E219" s="6" t="n"/>
    </row>
    <row r="220" ht="26" customHeight="1">
      <c r="A220" s="2" t="inlineStr">
        <is>
          <t>Semak prosedur dan pelan latihan, sijil dan rekod kehadiran serta penilaian keberkesanan latihan, dan uji kefahaman halal pekerja secara rawak.</t>
        </is>
      </c>
    </row>
    <row r="221">
      <c r="A221" s="7" t="inlineStr">
        <is>
          <t>M1</t>
        </is>
      </c>
      <c r="B221" s="7" t="inlineStr">
        <is>
          <t>HAS: prosedur latihan halal bertulis meliputi latihan kesedaran dan latihan kompetensi.</t>
        </is>
      </c>
      <c r="C221" s="7" t="inlineStr">
        <is>
          <t>MHMS 5(8)(a) (Latihan Halal)</t>
        </is>
      </c>
      <c r="D221" s="7" t="inlineStr"/>
      <c r="E221" s="7" t="inlineStr"/>
      <c r="F221" t="inlineStr">
        <is>
          <t>M</t>
        </is>
      </c>
    </row>
    <row r="222">
      <c r="A222" s="7" t="inlineStr">
        <is>
          <t>M2</t>
        </is>
      </c>
      <c r="B222" s="7" t="inlineStr">
        <is>
          <t>Pekerja baharu menghadiri latihan kesedaran halal dalam tempoh 3 bulan dari tarikh lantikan.</t>
        </is>
      </c>
      <c r="C222" s="7" t="inlineStr">
        <is>
          <t>MPPHM 17(12)(a); MHMS 5(8)(c)</t>
        </is>
      </c>
      <c r="D222" s="7" t="inlineStr"/>
      <c r="E222" s="7" t="inlineStr"/>
      <c r="F222" t="inlineStr">
        <is>
          <t>M</t>
        </is>
      </c>
    </row>
    <row r="223">
      <c r="A223" s="7" t="inlineStr">
        <is>
          <t>M3</t>
        </is>
      </c>
      <c r="B223" s="7" t="inlineStr">
        <is>
          <t>Semua pekerja pengeluaran dan perkhidmatan menghadiri latihan kesedaran halal sekurang-kurangnya sekali setiap 3 tahun.</t>
        </is>
      </c>
      <c r="C223" s="7" t="inlineStr">
        <is>
          <t>MPPHM 17(12)(b); MHMS 5(8)(d)</t>
        </is>
      </c>
      <c r="D223" s="7" t="inlineStr"/>
      <c r="E223" s="7" t="inlineStr"/>
      <c r="F223" t="inlineStr">
        <is>
          <t>M</t>
        </is>
      </c>
    </row>
    <row r="224">
      <c r="A224" s="7" t="inlineStr">
        <is>
          <t>M4</t>
        </is>
      </c>
      <c r="B224" s="7" t="inlineStr">
        <is>
          <t>Latihan kesedaran meliputi konsep halal dan prosedur pensijilan halal, dan dikendalikan oleh organisasi yang berdaftar dengan HPB JAKIM.</t>
        </is>
      </c>
      <c r="C224" s="7" t="inlineStr">
        <is>
          <t>MPPHM 17(12)(c); MHMS 5(8)(b), 5(8)(c)</t>
        </is>
      </c>
      <c r="D224" s="7" t="inlineStr"/>
      <c r="E224" s="7" t="inlineStr"/>
      <c r="F224" t="inlineStr">
        <is>
          <t>M</t>
        </is>
      </c>
    </row>
    <row r="225">
      <c r="A225" s="7" t="inlineStr">
        <is>
          <t>M5</t>
        </is>
      </c>
      <c r="B225" s="7" t="inlineStr">
        <is>
          <t>Kandungan latihan dikaitkan dengan operasi peranti perubatan, iaitu bahan kritikal (bahan haiwan, bahan manusia, alkohol), kawalan pencemaran di bilik bersih, dan tindakan yang perlu diambil jika bahan tidak halal ditemui.</t>
        </is>
      </c>
      <c r="C225" s="7" t="inlineStr">
        <is>
          <t>MS 2636 kl. 4.7*</t>
        </is>
      </c>
      <c r="D225" s="7" t="inlineStr"/>
      <c r="E225" s="7" t="inlineStr"/>
      <c r="F225" t="inlineStr">
        <is>
          <t>M</t>
        </is>
      </c>
    </row>
    <row r="226">
      <c r="A226" s="7" t="inlineStr">
        <is>
          <t>M6</t>
        </is>
      </c>
      <c r="B226" s="7" t="inlineStr">
        <is>
          <t>(jika ada bilik bersih) Pekerja dilatih tentang prosedur persalinan bilik bersih dan kebersihan diri sebelum dibenarkan memasuki bilik bersih.</t>
        </is>
      </c>
      <c r="C226" s="7" t="inlineStr">
        <is>
          <t>MS 2636 kl. 4.7*, kl. 4.8*; MS ISO 13485</t>
        </is>
      </c>
      <c r="D226" s="7" t="inlineStr"/>
      <c r="E226" s="7" t="inlineStr"/>
      <c r="F226" t="inlineStr">
        <is>
          <t>M</t>
        </is>
      </c>
    </row>
    <row r="227">
      <c r="A227" s="7" t="inlineStr">
        <is>
          <t>M7</t>
        </is>
      </c>
      <c r="B227" s="7" t="inlineStr">
        <is>
          <t>HAS: ahli JKHD menghadiri latihan kompetensi halal sekurang-kurangnya sekali setiap 3 tahun, yang dikendalikan oleh Penyedia Latihan Halal berdaftar atau pihak berkuasa. Latihan itu meliputi Syariah dan fatwa, MS 2636, MPPHM, MHMS, perundangan halal dan bahan kritikal.</t>
        </is>
      </c>
      <c r="C227" s="7" t="inlineStr">
        <is>
          <t>MPPHM 17(12)(e), 17(12)(f); MHMS 5(8)(f), 5(8)(g)</t>
        </is>
      </c>
      <c r="D227" s="7" t="inlineStr"/>
      <c r="E227" s="7" t="inlineStr"/>
      <c r="F227" t="inlineStr">
        <is>
          <t>M</t>
        </is>
      </c>
    </row>
    <row r="228">
      <c r="A228" s="7" t="inlineStr">
        <is>
          <t>M8</t>
        </is>
      </c>
      <c r="B228" s="7" t="inlineStr">
        <is>
          <t>Taklimat atau latihan halal diberikan kepada pihak berkaitan seperti pemilik jenama, pembekal, pengangkut dan penyedia perkhidmatan kontrak jika perlu.</t>
        </is>
      </c>
      <c r="C228" s="7" t="inlineStr">
        <is>
          <t>MPPHM 17(12)(d); MHMS 5(8)(j)</t>
        </is>
      </c>
      <c r="D228" s="7" t="inlineStr"/>
      <c r="E228" s="7" t="inlineStr"/>
      <c r="F228" t="inlineStr">
        <is>
          <t>M</t>
        </is>
      </c>
    </row>
    <row r="229">
      <c r="A229" s="7" t="inlineStr">
        <is>
          <t>M9</t>
        </is>
      </c>
      <c r="B229" s="7" t="inlineStr">
        <is>
          <t>Pengurusan memperuntukkan dana dan kemudahan untuk latihan halal.</t>
        </is>
      </c>
      <c r="C229" s="7" t="inlineStr">
        <is>
          <t>MPPHM 17(12)(g); MHMS 5(8)(h)</t>
        </is>
      </c>
      <c r="D229" s="7" t="inlineStr"/>
      <c r="E229" s="7" t="inlineStr"/>
      <c r="F229" t="inlineStr">
        <is>
          <t>M</t>
        </is>
      </c>
    </row>
    <row r="230">
      <c r="A230" s="7" t="inlineStr">
        <is>
          <t>M10</t>
        </is>
      </c>
      <c r="B230" s="7" t="inlineStr">
        <is>
          <t>HAS: pelan operasi latihan menyatakan jenis latihan, peserta, kekerapan, cadangan tarikh, penceramah dan rekod.</t>
        </is>
      </c>
      <c r="C230" s="7" t="inlineStr">
        <is>
          <t>MHMS 5(8)(i), Lampiran K</t>
        </is>
      </c>
      <c r="D230" s="7" t="inlineStr"/>
      <c r="E230" s="7" t="inlineStr"/>
      <c r="F230" t="inlineStr">
        <is>
          <t>M</t>
        </is>
      </c>
    </row>
    <row r="231">
      <c r="A231" s="7" t="inlineStr">
        <is>
          <t>M11</t>
        </is>
      </c>
      <c r="B231" s="7" t="inlineStr">
        <is>
          <t>HAS: keberkesanan latihan dinilai (cth. ujian pra dan pasca atau soal selidik), dan rekod penilaiannya disimpan.</t>
        </is>
      </c>
      <c r="C231" s="7" t="inlineStr">
        <is>
          <t>MHMS 5(8)(e)</t>
        </is>
      </c>
      <c r="D231" s="7" t="inlineStr"/>
      <c r="E231" s="7" t="inlineStr"/>
      <c r="F231" t="inlineStr">
        <is>
          <t>M</t>
        </is>
      </c>
    </row>
    <row r="232">
      <c r="A232" s="7" t="inlineStr">
        <is>
          <t>M12</t>
        </is>
      </c>
      <c r="B232" s="7" t="inlineStr">
        <is>
          <t>Rekod latihan disimpan, dikemas kini dan mudah dicapai semasa pemeriksaan.</t>
        </is>
      </c>
      <c r="C232" s="7" t="inlineStr">
        <is>
          <t>MPPHM 17(12)(h); MHMS 5(8)(k)</t>
        </is>
      </c>
      <c r="D232" s="7" t="inlineStr"/>
      <c r="E232" s="7" t="inlineStr"/>
      <c r="F232" t="inlineStr">
        <is>
          <t>M</t>
        </is>
      </c>
    </row>
    <row r="233">
      <c r="A233" s="4" t="inlineStr">
        <is>
          <t>Bahagian N: Dokumentasi, Kebolehkesanan &amp; Pematuhan Undang-undang</t>
        </is>
      </c>
      <c r="B233" s="5" t="n"/>
      <c r="C233" s="5" t="n"/>
      <c r="D233" s="5" t="n"/>
      <c r="E233" s="6" t="n"/>
    </row>
    <row r="234" ht="26" customHeight="1">
      <c r="A234" s="2" t="inlineStr">
        <is>
          <t>Semak kawalan dokumen dan fail rekod, uji kebolehkesanan satu lot peranti dari bahan hingga pelanggan, dan semak rekod aduan, penarikan balik serta pematuhan perundangan.</t>
        </is>
      </c>
    </row>
    <row r="235">
      <c r="A235" s="7" t="inlineStr">
        <is>
          <t>N1</t>
        </is>
      </c>
      <c r="B235" s="7" t="inlineStr">
        <is>
          <t>Dokumen halal dikawal (nombor rujukan, versi, tarikh berkuat kuasa dan kelulusan), dikemas kini dan mudah dicapai semasa pemeriksaan.</t>
        </is>
      </c>
      <c r="C235" s="7" t="inlineStr">
        <is>
          <t>MPPHM 17(14)(a); MHMS 5(13)(a), 5(13)(d) (Dokumentasi dan Rekod); MS 2636 kl. 4.14*</t>
        </is>
      </c>
      <c r="D235" s="7" t="inlineStr"/>
      <c r="E235" s="7" t="inlineStr"/>
      <c r="F235" t="inlineStr">
        <is>
          <t>N</t>
        </is>
      </c>
    </row>
    <row r="236">
      <c r="A236" s="7" t="inlineStr">
        <is>
          <t>N2</t>
        </is>
      </c>
      <c r="B236" s="7" t="inlineStr">
        <is>
          <t>Fail lengkap tersedia: fail permohonan MYeHALAL, fail MHMS (HAS atau IHCS), sijil (SPHM, Lesen Establismen, sijil pendaftaran MDA, sijil MS ISO 13485), rekod pekerja, latihan, pembelian bahan, kawalan perosak dan pemprosesan, serta laporan audit terdahulu.</t>
        </is>
      </c>
      <c r="C236" s="7" t="inlineStr">
        <is>
          <t>MPPHM 17(14)(b)</t>
        </is>
      </c>
      <c r="D236" s="7" t="inlineStr"/>
      <c r="E236" s="7" t="inlineStr"/>
      <c r="F236" t="inlineStr">
        <is>
          <t>N</t>
        </is>
      </c>
    </row>
    <row r="237">
      <c r="A237" s="7" t="inlineStr">
        <is>
          <t>N3</t>
        </is>
      </c>
      <c r="B237" s="7" t="inlineStr">
        <is>
          <t>Rekod disimpan sekurang-kurangnya 3 tahun, dan pemohon baharu mempunyai rekod sekurang-kurangnya 3 bulan.</t>
        </is>
      </c>
      <c r="C237" s="7" t="inlineStr">
        <is>
          <t>MPPHM 17(14)(c), 17(14)(d); MHMS 5(13)(b), 5(13)(c)</t>
        </is>
      </c>
      <c r="D237" s="7" t="inlineStr"/>
      <c r="E237" s="7" t="inlineStr"/>
      <c r="F237" t="inlineStr">
        <is>
          <t>N</t>
        </is>
      </c>
    </row>
    <row r="238">
      <c r="A238" s="7" t="inlineStr">
        <is>
          <t>N4</t>
        </is>
      </c>
      <c r="B238" s="7" t="inlineStr">
        <is>
          <t>Rekod kelompok (rekod sejarah peranti) mencatat nombor lot setiap bahan dan bahan pembungkusan serta kitaran pensterilan yang digunakan.</t>
        </is>
      </c>
      <c r="C238" s="7" t="inlineStr">
        <is>
          <t>MS 2636 kl. 4.14*, kl. 4.15*; MS ISO 13485</t>
        </is>
      </c>
      <c r="D238" s="7" t="inlineStr"/>
      <c r="E238" s="7" t="inlineStr"/>
      <c r="F238" t="inlineStr">
        <is>
          <t>N</t>
        </is>
      </c>
    </row>
    <row r="239">
      <c r="A239" s="7" t="inlineStr">
        <is>
          <t>N5</t>
        </is>
      </c>
      <c r="B239" s="7" t="inlineStr">
        <is>
          <t>Prosedur kebolehkesanan bertulis membolehkan peranti dikesan satu langkah ke belakang (pembekal bahan) dan satu langkah ke hadapan (pelanggan).</t>
        </is>
      </c>
      <c r="C239" s="7" t="inlineStr">
        <is>
          <t>MHMS 5(9)(a) (Kebolehkesanan), 6(3), 7(1)(b)(iii), Lampiran L1</t>
        </is>
      </c>
      <c r="D239" s="7" t="inlineStr"/>
      <c r="E239" s="7" t="inlineStr"/>
      <c r="F239" t="inlineStr">
        <is>
          <t>N</t>
        </is>
      </c>
    </row>
    <row r="240">
      <c r="A240" s="7" t="inlineStr">
        <is>
          <t>N6</t>
        </is>
      </c>
      <c r="B240" s="7" t="inlineStr">
        <is>
          <t>Ujian kebolehkesanan semasa audit: satu lot peranti siap dapat dikesan kepada lot bahan dan sijil halalnya, dan kepada pelanggan, dalam masa yang munasabah.</t>
        </is>
      </c>
      <c r="C240" s="7" t="inlineStr">
        <is>
          <t>MHMS 5(9); Akta 737 s. 37</t>
        </is>
      </c>
      <c r="D240" s="7" t="inlineStr"/>
      <c r="E240" s="7" t="inlineStr"/>
      <c r="F240" t="inlineStr">
        <is>
          <t>N</t>
        </is>
      </c>
    </row>
    <row r="241">
      <c r="A241" s="7" t="inlineStr">
        <is>
          <t>N7</t>
        </is>
      </c>
      <c r="B241" s="7" t="inlineStr">
        <is>
          <t>HAS: prosedur penarikan balik produk tersedia dan boleh disepadukan dengan prosedur tindakan pembetulan lapangan dan penarikan balik di bawah Akta 737. Latihan penarikan balik (mock recall) dibuat sekurang-kurangnya sekali setahun dan direkod.</t>
        </is>
      </c>
      <c r="C241" s="7" t="inlineStr">
        <is>
          <t>MHMS 5(9)(a), 5(9)(b), 5(9)(c), 5(9)(d), Lampiran L3; Akta 737 s. 41, 42</t>
        </is>
      </c>
      <c r="D241" s="7" t="inlineStr"/>
      <c r="E241" s="7" t="inlineStr"/>
      <c r="F241" t="inlineStr">
        <is>
          <t>N</t>
        </is>
      </c>
    </row>
    <row r="242">
      <c r="A242" s="7" t="inlineStr">
        <is>
          <t>N8</t>
        </is>
      </c>
      <c r="B242" s="7" t="inlineStr">
        <is>
          <t>Aduan berkaitan status halal peranti direkod, disiasat dan dimaklumkan kepada Eksekutif Halal atau JKHD (HAS) atau kepada individu yang bertanggungjawab melaksanakan IHCS, melalui sistem pengendalian aduan syarikat.</t>
        </is>
      </c>
      <c r="C242" s="7" t="inlineStr">
        <is>
          <t>Akta 737 s. 39; MHMS 5(4)(i)</t>
        </is>
      </c>
      <c r="D242" s="7" t="inlineStr"/>
      <c r="E242" s="7" t="inlineStr"/>
      <c r="F242" t="inlineStr">
        <is>
          <t>N</t>
        </is>
      </c>
    </row>
    <row r="243">
      <c r="A243" s="7" t="inlineStr">
        <is>
          <t>N9</t>
        </is>
      </c>
      <c r="B243" s="7" t="inlineStr">
        <is>
          <t>Maklumat syarikat, premis dan produk (cth. alamat, nama produk, jenama) dalam sistem MYeHALAL dikemas kini apabila berlaku perubahan.</t>
        </is>
      </c>
      <c r="C243" s="7" t="inlineStr">
        <is>
          <t>MPPHM 37, 60</t>
        </is>
      </c>
      <c r="D243" s="7" t="inlineStr"/>
      <c r="E243" s="7" t="inlineStr"/>
      <c r="F243" t="inlineStr">
        <is>
          <t>N</t>
        </is>
      </c>
    </row>
    <row r="244">
      <c r="A244" s="7" t="inlineStr">
        <is>
          <t>N10</t>
        </is>
      </c>
      <c r="B244" s="7" t="inlineStr">
        <is>
          <t>Sistem pengawasan pasca pasaran dan pelaporan masalah mandatori kepada MDA dilaksanakan dan direkod.</t>
        </is>
      </c>
      <c r="C244" s="7" t="inlineStr">
        <is>
          <t>Akta 737 s. 38, 40; PPP Kewajipan Establismen 2019; MS 2636 kl. 4.20*</t>
        </is>
      </c>
      <c r="D244" s="7" t="inlineStr"/>
      <c r="E244" s="7" t="inlineStr"/>
      <c r="F244" t="inlineStr">
        <is>
          <t>N</t>
        </is>
      </c>
    </row>
    <row r="245">
      <c r="A245" s="7" t="inlineStr">
        <is>
          <t>N11</t>
        </is>
      </c>
      <c r="B245" s="7" t="inlineStr">
        <is>
          <t>Daftar perundangan yang berkaitan (Akta 737, PPP 2012 dan peraturan 2019, APD 2011 serta Perintah halal 2011) disimpan, dan perubahannya dipantau.</t>
        </is>
      </c>
      <c r="C245" s="7" t="inlineStr">
        <is>
          <t>MPPHM 17(16)(a), 56; MS 2636 kl. 4.20*</t>
        </is>
      </c>
      <c r="D245" s="7" t="inlineStr"/>
      <c r="E245" s="7" t="inlineStr"/>
      <c r="F245" t="inlineStr">
        <is>
          <t>N</t>
        </is>
      </c>
    </row>
  </sheetData>
  <mergeCells count="29">
    <mergeCell ref="A30:E30"/>
    <mergeCell ref="A59:E59"/>
    <mergeCell ref="A201:E201"/>
    <mergeCell ref="A169:E169"/>
    <mergeCell ref="A178:E178"/>
    <mergeCell ref="A6:E6"/>
    <mergeCell ref="A124:E124"/>
    <mergeCell ref="A7:E7"/>
    <mergeCell ref="A90:E90"/>
    <mergeCell ref="A137:E137"/>
    <mergeCell ref="A89:E89"/>
    <mergeCell ref="A233:E233"/>
    <mergeCell ref="A189:E189"/>
    <mergeCell ref="A136:E136"/>
    <mergeCell ref="A154:E154"/>
    <mergeCell ref="A3:E3"/>
    <mergeCell ref="A179:E179"/>
    <mergeCell ref="A234:E234"/>
    <mergeCell ref="A219:E219"/>
    <mergeCell ref="A188:E188"/>
    <mergeCell ref="A29:E29"/>
    <mergeCell ref="A125:E125"/>
    <mergeCell ref="A112:E112"/>
    <mergeCell ref="A170:E170"/>
    <mergeCell ref="A155:E155"/>
    <mergeCell ref="A111:E111"/>
    <mergeCell ref="A202:E202"/>
    <mergeCell ref="A220:E220"/>
    <mergeCell ref="A58:E58"/>
  </mergeCells>
  <conditionalFormatting sqref="D6:D245">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28 D31 D32 D33 D34 D35 D36 D37 D38 D39 D40 D41 D42 D43 D44 D45 D46 D47 D48 D49 D50 D51 D52 D53 D54 D55 D56 D57 D60 D61 D62 D63 D64 D65 D66 D67 D68 D69 D70 D71 D72 D73 D74 D75 D76 D77 D78 D79 D80 D81 D82 D83 D84 D85 D86 D87 D88 D91 D92 D93 D94 D95 D96 D97 D98 D99 D100 D101 D102 D103 D104 D105 D106 D107 D108 D109 D110 D113 D114 D115 D116 D117 D118 D119 D120 D121 D122 D123 D126 D127 D128 D129 D130 D131 D132 D133 D134 D135 D138 D139 D140 D141 D142 D143 D144 D145 D146 D147 D148 D149 D150 D151 D152 D153 D156 D157 D158 D159 D160 D161 D162 D163 D164 D165 D166 D167 D168 D171 D172 D173 D174 D175 D176 D177 D180 D181 D182 D183 D184 D185 D186 D187 D190 D191 D192 D193 D194 D195 D196 D197 D198 D199 D200 D203 D204 D205 D206 D207 D208 D209 D210 D211 D212 D213 D214 D215 D216 D217 D218 D221 D222 D223 D224 D225 D226 D227 D228 D229 D230 D231 D232 D235 D236 D237 D238 D239 D240 D241 D242 D243 D244 D245"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8"/>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Peranti Perubatan</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MDA &amp; Skop Permohonan</t>
        </is>
      </c>
      <c r="B4" t="n">
        <v>21</v>
      </c>
      <c r="C4">
        <f>COUNTIFS('Senarai Semak'!$F$6:$F$245,"A",'Senarai Semak'!$D$6:$D$245,"Ya")</f>
        <v/>
      </c>
      <c r="D4">
        <f>COUNTIFS('Senarai Semak'!$F$6:$F$245,"A",'Senarai Semak'!$D$6:$D$245,"Tidak")</f>
        <v/>
      </c>
      <c r="E4">
        <f>COUNTIFS('Senarai Semak'!$F$6:$F$245,"A",'Senarai Semak'!$D$6:$D$245,"TB")</f>
        <v/>
      </c>
      <c r="F4">
        <f>B4-C4-D4-E4</f>
        <v/>
      </c>
      <c r="G4" s="10">
        <f>IF(C4+D4=0,"",C4/(C4+D4))</f>
        <v/>
      </c>
    </row>
    <row r="5">
      <c r="A5" t="inlineStr">
        <is>
          <t>B: Pengurusan, Sistem Kualiti &amp; Sistem Pengurusan Halal (HAS/IHCS)</t>
        </is>
      </c>
      <c r="B5" t="n">
        <v>27</v>
      </c>
      <c r="C5">
        <f>COUNTIFS('Senarai Semak'!$F$6:$F$245,"B",'Senarai Semak'!$D$6:$D$245,"Ya")</f>
        <v/>
      </c>
      <c r="D5">
        <f>COUNTIFS('Senarai Semak'!$F$6:$F$245,"B",'Senarai Semak'!$D$6:$D$245,"Tidak")</f>
        <v/>
      </c>
      <c r="E5">
        <f>COUNTIFS('Senarai Semak'!$F$6:$F$245,"B",'Senarai Semak'!$D$6:$D$245,"TB")</f>
        <v/>
      </c>
      <c r="F5">
        <f>B5-C5-D5-E5</f>
        <v/>
      </c>
      <c r="G5" s="10">
        <f>IF(C5+D5=0,"",C5/(C5+D5))</f>
        <v/>
      </c>
    </row>
    <row r="6">
      <c r="A6" t="inlineStr">
        <is>
          <t>C: Bahan Mentah, Komponen &amp; Pembekal</t>
        </is>
      </c>
      <c r="B6" t="n">
        <v>29</v>
      </c>
      <c r="C6">
        <f>COUNTIFS('Senarai Semak'!$F$6:$F$245,"C",'Senarai Semak'!$D$6:$D$245,"Ya")</f>
        <v/>
      </c>
      <c r="D6">
        <f>COUNTIFS('Senarai Semak'!$F$6:$F$245,"C",'Senarai Semak'!$D$6:$D$245,"Tidak")</f>
        <v/>
      </c>
      <c r="E6">
        <f>COUNTIFS('Senarai Semak'!$F$6:$F$245,"C",'Senarai Semak'!$D$6:$D$245,"TB")</f>
        <v/>
      </c>
      <c r="F6">
        <f>B6-C6-D6-E6</f>
        <v/>
      </c>
      <c r="G6" s="10">
        <f>IF(C6+D6=0,"",C6/(C6+D6))</f>
        <v/>
      </c>
    </row>
    <row r="7">
      <c r="A7" t="inlineStr">
        <is>
          <t>D: Premis, Bilik Bersih &amp; Kawasan Sokongan</t>
        </is>
      </c>
      <c r="B7" t="n">
        <v>20</v>
      </c>
      <c r="C7">
        <f>COUNTIFS('Senarai Semak'!$F$6:$F$245,"D",'Senarai Semak'!$D$6:$D$245,"Ya")</f>
        <v/>
      </c>
      <c r="D7">
        <f>COUNTIFS('Senarai Semak'!$F$6:$F$245,"D",'Senarai Semak'!$D$6:$D$245,"Tidak")</f>
        <v/>
      </c>
      <c r="E7">
        <f>COUNTIFS('Senarai Semak'!$F$6:$F$245,"D",'Senarai Semak'!$D$6:$D$245,"TB")</f>
        <v/>
      </c>
      <c r="F7">
        <f>B7-C7-D7-E7</f>
        <v/>
      </c>
      <c r="G7" s="10">
        <f>IF(C7+D7=0,"",C7/(C7+D7))</f>
        <v/>
      </c>
    </row>
    <row r="8">
      <c r="A8" t="inlineStr">
        <is>
          <t>E: Penyimpanan</t>
        </is>
      </c>
      <c r="B8" t="n">
        <v>11</v>
      </c>
      <c r="C8">
        <f>COUNTIFS('Senarai Semak'!$F$6:$F$245,"E",'Senarai Semak'!$D$6:$D$245,"Ya")</f>
        <v/>
      </c>
      <c r="D8">
        <f>COUNTIFS('Senarai Semak'!$F$6:$F$245,"E",'Senarai Semak'!$D$6:$D$245,"Tidak")</f>
        <v/>
      </c>
      <c r="E8">
        <f>COUNTIFS('Senarai Semak'!$F$6:$F$245,"E",'Senarai Semak'!$D$6:$D$245,"TB")</f>
        <v/>
      </c>
      <c r="F8">
        <f>B8-C8-D8-E8</f>
        <v/>
      </c>
      <c r="G8" s="10">
        <f>IF(C8+D8=0,"",C8/(C8+D8))</f>
        <v/>
      </c>
    </row>
    <row r="9">
      <c r="A9" t="inlineStr">
        <is>
          <t>F: Peralatan, Utiliti &amp; Bahan Bantu</t>
        </is>
      </c>
      <c r="B9" t="n">
        <v>10</v>
      </c>
      <c r="C9">
        <f>COUNTIFS('Senarai Semak'!$F$6:$F$245,"F",'Senarai Semak'!$D$6:$D$245,"Ya")</f>
        <v/>
      </c>
      <c r="D9">
        <f>COUNTIFS('Senarai Semak'!$F$6:$F$245,"F",'Senarai Semak'!$D$6:$D$245,"Tidak")</f>
        <v/>
      </c>
      <c r="E9">
        <f>COUNTIFS('Senarai Semak'!$F$6:$F$245,"F",'Senarai Semak'!$D$6:$D$245,"TB")</f>
        <v/>
      </c>
      <c r="F9">
        <f>B9-C9-D9-E9</f>
        <v/>
      </c>
      <c r="G9" s="10">
        <f>IF(C9+D9=0,"",C9/(C9+D9))</f>
        <v/>
      </c>
    </row>
    <row r="10">
      <c r="A10" t="inlineStr">
        <is>
          <t>G: Pembuatan, Pensterilan &amp; Kawalan Kualiti Halal</t>
        </is>
      </c>
      <c r="B10" t="n">
        <v>16</v>
      </c>
      <c r="C10">
        <f>COUNTIFS('Senarai Semak'!$F$6:$F$245,"G",'Senarai Semak'!$D$6:$D$245,"Ya")</f>
        <v/>
      </c>
      <c r="D10">
        <f>COUNTIFS('Senarai Semak'!$F$6:$F$245,"G",'Senarai Semak'!$D$6:$D$245,"Tidak")</f>
        <v/>
      </c>
      <c r="E10">
        <f>COUNTIFS('Senarai Semak'!$F$6:$F$245,"G",'Senarai Semak'!$D$6:$D$245,"TB")</f>
        <v/>
      </c>
      <c r="F10">
        <f>B10-C10-D10-E10</f>
        <v/>
      </c>
      <c r="G10" s="10">
        <f>IF(C10+D10=0,"",C10/(C10+D10))</f>
        <v/>
      </c>
    </row>
    <row r="11">
      <c r="A11" t="inlineStr">
        <is>
          <t>H: Pembungkusan, Pelabelan, Logo Halal &amp; Iklan</t>
        </is>
      </c>
      <c r="B11" t="n">
        <v>13</v>
      </c>
      <c r="C11">
        <f>COUNTIFS('Senarai Semak'!$F$6:$F$245,"H",'Senarai Semak'!$D$6:$D$245,"Ya")</f>
        <v/>
      </c>
      <c r="D11">
        <f>COUNTIFS('Senarai Semak'!$F$6:$F$245,"H",'Senarai Semak'!$D$6:$D$245,"Tidak")</f>
        <v/>
      </c>
      <c r="E11">
        <f>COUNTIFS('Senarai Semak'!$F$6:$F$245,"H",'Senarai Semak'!$D$6:$D$245,"TB")</f>
        <v/>
      </c>
      <c r="F11">
        <f>B11-C11-D11-E11</f>
        <v/>
      </c>
      <c r="G11" s="10">
        <f>IF(C11+D11=0,"",C11/(C11+D11))</f>
        <v/>
      </c>
    </row>
    <row r="12">
      <c r="A12" t="inlineStr">
        <is>
          <t>I: Pengangkutan &amp; Pengedaran</t>
        </is>
      </c>
      <c r="B12" t="n">
        <v>7</v>
      </c>
      <c r="C12">
        <f>COUNTIFS('Senarai Semak'!$F$6:$F$245,"I",'Senarai Semak'!$D$6:$D$245,"Ya")</f>
        <v/>
      </c>
      <c r="D12">
        <f>COUNTIFS('Senarai Semak'!$F$6:$F$245,"I",'Senarai Semak'!$D$6:$D$245,"Tidak")</f>
        <v/>
      </c>
      <c r="E12">
        <f>COUNTIFS('Senarai Semak'!$F$6:$F$245,"I",'Senarai Semak'!$D$6:$D$245,"TB")</f>
        <v/>
      </c>
      <c r="F12">
        <f>B12-C12-D12-E12</f>
        <v/>
      </c>
      <c r="G12" s="10">
        <f>IF(C12+D12=0,"",C12/(C12+D12))</f>
        <v/>
      </c>
    </row>
    <row r="13">
      <c r="A13" t="inlineStr">
        <is>
          <t>J: Aktiviti Penyumberan Luar (Pensterilan Kontrak, OEM &amp; Perkhidmatan)</t>
        </is>
      </c>
      <c r="B13" t="n">
        <v>8</v>
      </c>
      <c r="C13">
        <f>COUNTIFS('Senarai Semak'!$F$6:$F$245,"J",'Senarai Semak'!$D$6:$D$245,"Ya")</f>
        <v/>
      </c>
      <c r="D13">
        <f>COUNTIFS('Senarai Semak'!$F$6:$F$245,"J",'Senarai Semak'!$D$6:$D$245,"Tidak")</f>
        <v/>
      </c>
      <c r="E13">
        <f>COUNTIFS('Senarai Semak'!$F$6:$F$245,"J",'Senarai Semak'!$D$6:$D$245,"TB")</f>
        <v/>
      </c>
      <c r="F13">
        <f>B13-C13-D13-E13</f>
        <v/>
      </c>
      <c r="G13" s="10">
        <f>IF(C13+D13=0,"",C13/(C13+D13))</f>
        <v/>
      </c>
    </row>
    <row r="14">
      <c r="A14" t="inlineStr">
        <is>
          <t>K: Kebersihan, Sanitasi, Kawalan Perosak &amp; Sertu</t>
        </is>
      </c>
      <c r="B14" t="n">
        <v>11</v>
      </c>
      <c r="C14">
        <f>COUNTIFS('Senarai Semak'!$F$6:$F$245,"K",'Senarai Semak'!$D$6:$D$245,"Ya")</f>
        <v/>
      </c>
      <c r="D14">
        <f>COUNTIFS('Senarai Semak'!$F$6:$F$245,"K",'Senarai Semak'!$D$6:$D$245,"Tidak")</f>
        <v/>
      </c>
      <c r="E14">
        <f>COUNTIFS('Senarai Semak'!$F$6:$F$245,"K",'Senarai Semak'!$D$6:$D$245,"TB")</f>
        <v/>
      </c>
      <c r="F14">
        <f>B14-C14-D14-E14</f>
        <v/>
      </c>
      <c r="G14" s="10">
        <f>IF(C14+D14=0,"",C14/(C14+D14))</f>
        <v/>
      </c>
    </row>
    <row r="15">
      <c r="A15" t="inlineStr">
        <is>
          <t>L: Pekerja, Kebersihan Diri &amp; Kemudahan Pekerja</t>
        </is>
      </c>
      <c r="B15" t="n">
        <v>16</v>
      </c>
      <c r="C15">
        <f>COUNTIFS('Senarai Semak'!$F$6:$F$245,"L",'Senarai Semak'!$D$6:$D$245,"Ya")</f>
        <v/>
      </c>
      <c r="D15">
        <f>COUNTIFS('Senarai Semak'!$F$6:$F$245,"L",'Senarai Semak'!$D$6:$D$245,"Tidak")</f>
        <v/>
      </c>
      <c r="E15">
        <f>COUNTIFS('Senarai Semak'!$F$6:$F$245,"L",'Senarai Semak'!$D$6:$D$245,"TB")</f>
        <v/>
      </c>
      <c r="F15">
        <f>B15-C15-D15-E15</f>
        <v/>
      </c>
      <c r="G15" s="10">
        <f>IF(C15+D15=0,"",C15/(C15+D15))</f>
        <v/>
      </c>
    </row>
    <row r="16">
      <c r="A16" t="inlineStr">
        <is>
          <t>M: Latihan Halal</t>
        </is>
      </c>
      <c r="B16" t="n">
        <v>12</v>
      </c>
      <c r="C16">
        <f>COUNTIFS('Senarai Semak'!$F$6:$F$245,"M",'Senarai Semak'!$D$6:$D$245,"Ya")</f>
        <v/>
      </c>
      <c r="D16">
        <f>COUNTIFS('Senarai Semak'!$F$6:$F$245,"M",'Senarai Semak'!$D$6:$D$245,"Tidak")</f>
        <v/>
      </c>
      <c r="E16">
        <f>COUNTIFS('Senarai Semak'!$F$6:$F$245,"M",'Senarai Semak'!$D$6:$D$245,"TB")</f>
        <v/>
      </c>
      <c r="F16">
        <f>B16-C16-D16-E16</f>
        <v/>
      </c>
      <c r="G16" s="10">
        <f>IF(C16+D16=0,"",C16/(C16+D16))</f>
        <v/>
      </c>
    </row>
    <row r="17">
      <c r="A17" t="inlineStr">
        <is>
          <t>N: Dokumentasi, Kebolehkesanan &amp; Pematuhan Undang-undang</t>
        </is>
      </c>
      <c r="B17" t="n">
        <v>11</v>
      </c>
      <c r="C17">
        <f>COUNTIFS('Senarai Semak'!$F$6:$F$245,"N",'Senarai Semak'!$D$6:$D$245,"Ya")</f>
        <v/>
      </c>
      <c r="D17">
        <f>COUNTIFS('Senarai Semak'!$F$6:$F$245,"N",'Senarai Semak'!$D$6:$D$245,"Tidak")</f>
        <v/>
      </c>
      <c r="E17">
        <f>COUNTIFS('Senarai Semak'!$F$6:$F$245,"N",'Senarai Semak'!$D$6:$D$245,"TB")</f>
        <v/>
      </c>
      <c r="F17">
        <f>B17-C17-D17-E17</f>
        <v/>
      </c>
      <c r="G17" s="10">
        <f>IF(C17+D17=0,"",C17/(C17+D17))</f>
        <v/>
      </c>
    </row>
    <row r="18">
      <c r="A18" s="11" t="inlineStr">
        <is>
          <t>Jumlah</t>
        </is>
      </c>
      <c r="B18" s="11">
        <f>SUM(B4:B17)</f>
        <v/>
      </c>
      <c r="C18" s="11">
        <f>SUM(C4:C17)</f>
        <v/>
      </c>
      <c r="D18" s="11">
        <f>SUM(D4:D17)</f>
        <v/>
      </c>
      <c r="E18" s="11">
        <f>SUM(E4:E17)</f>
        <v/>
      </c>
      <c r="F18" s="11">
        <f>SUM(F4:F17)</f>
        <v/>
      </c>
      <c r="G18" s="10">
        <f>IF(C18+D18=0,"",C18/(C18+D18))</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4"/>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dibaca bagi s. 1 hingga 18(7), termasuk s. 3 (tafsiran), 5, 6, 8(1) Jadual 1 dan 17. Teks badan s. 18(8) dan 18(9) tiada dalam teks yang boleh diekstrak daripada salinan JAIPs, salinan lain atau versi web. Kandungan 18(9) disahkan melalui pengumuman JAKIM 2022, MHMS 7(1) dan digest penyelaras. Bagi s. 19, 20, 23, 34-37, 40-41, 52-56, 58 dan 60, hanya tajuk dalam jadual kandungan disemak.</t>
        </is>
      </c>
      <c r="D2" s="14" t="inlineStr">
        <is>
          <t>https://jaips.perlis.gov.my/phocadownload/MPPHM%20Domestik%202020%20JAKIM-JAIN.pdf</t>
        </is>
      </c>
    </row>
    <row r="3">
      <c r="A3" s="14" t="inlineStr">
        <is>
          <t>MHMS</t>
        </is>
      </c>
      <c r="B3" s="14" t="inlineStr">
        <is>
          <t>Sistem Pengurusan Halal Malaysia (Malaysian Halal Management System) 2020</t>
        </is>
      </c>
      <c r="C3" s="14" t="inlineStr">
        <is>
          <t>Teks penuh dibaca daripada salinan dokumen rasmi JAKIM di serunai.com, kerana pautan rasmi myehalal.halal.gov.my dialihkan. Bahagian yang dibaca: 5(1)-5(13) (HAS), 6 (IHCS), 7(1) (skim produk termasuk Peranti Perubatan) dan senarai Lampiran A hingga L3, termasuk Lampiran D dan L1. Rujukan mengikut penomboran yang dicetak dalam manual.</t>
        </is>
      </c>
      <c r="D3" s="14" t="inlineStr">
        <is>
          <t>https://serunai.com/wp-content/uploads/2023/03/SPHM-2020.pdf</t>
        </is>
      </c>
    </row>
    <row r="4">
      <c r="A4" s="14" t="inlineStr">
        <is>
          <t>Pengumuman JAKIM 2022</t>
        </is>
      </c>
      <c r="B4" s="14" t="inlineStr">
        <is>
          <t>Pengumuman JAKIM: Penawaran Pensijilan Halal Malaysia bagi Skim Produk Peranti Perubatan (30 Mac 2022, berkuat kuasa 1 April 2022)</t>
        </is>
      </c>
      <c r="C4" s="14" t="inlineStr">
        <is>
          <t>Teks penuh pengumuman di portal rasmi halal.gov.my dibaca: Lesen Establismen MDA, Sijil Pendaftaran MDA atau surat pengecualian, kriteria kelayakan produk (a)-(d), instrumen yang perlu dipatuhi dan saluran permohonan MYeHALAL.</t>
        </is>
      </c>
      <c r="D4" s="14" t="inlineStr">
        <is>
          <t>https://www.halal.gov.my/?content_id=202203306243ae3925019&amp;data=bW9kdWxlcy9jb250ZW50X2RldGFpbHM7Ozs%3D&amp;page_title=Announcement</t>
        </is>
      </c>
    </row>
    <row r="5">
      <c r="A5" s="14" t="inlineStr">
        <is>
          <t>MS 2636</t>
        </is>
      </c>
      <c r="B5" s="14" t="inlineStr">
        <is>
          <t>MS 2636:2019 Halal medical device - General requirements</t>
        </is>
      </c>
      <c r="C5" s="14" t="inlineStr">
        <is>
          <t>Pratonton rasmi MySOL (halaman pratonton dan PDF pratonton JSM). Yang dibaca: skop, jadual kandungan penuh (kl. 1-3; 4.1 Quality management hingga 4.20 Legal requirements; 5 Compliance; 6 Halal certificates; 7 Halal certification mark; Lampiran A Method of sertu), Prakata dan Pengenalan. Isi klausa tidak dipaparkan, jadi setiap rujukan klausa diberi tanda * dan dipadankan berdasarkan tajuk klausa. Rujukan 'Pengenalan' tidak bertanda * kerana teksnya dibaca.</t>
        </is>
      </c>
      <c r="D5" s="14" t="inlineStr">
        <is>
          <t>https://mysol.jsm.gov.my/preview-file/eyJpdiI6InpxbVVXd21kc1BpOVA5a3V6eXJDK3c9PSIsInZhbHVlIjoib0dSL0xURmxhakRhUUphZE1PY25YZz09IiwibWFjIjoiN2ZkMTQxZDc3NGE4NjBhOTBlODM0ZTM3ZWU3NTFjMzNlNGVkNGI0ZjM2N2Q4MzZkOTRjNjhhZjQwNzg2MjI5NSJ9</t>
        </is>
      </c>
    </row>
    <row r="6">
      <c r="A6" s="14" t="inlineStr">
        <is>
          <t>MS ISO 13485</t>
        </is>
      </c>
      <c r="B6" s="14" t="inlineStr">
        <is>
          <t>MS ISO 13485:2017 Medical devices - Quality management systems - Requirements for regulatory purposes (First revision), identik dengan ISO 13485:2016</t>
        </is>
      </c>
      <c r="C6" s="14" t="inlineStr">
        <is>
          <t>Pratonton rasmi MySOL: kulit, prakata kebangsaan dan tajuk klausa 1-8 dibaca. Dirujuk pada peringkat tajuk sahaja sebagai sistem kualiti yang lazimnya dikehendaki MDA bagi pengilang.</t>
        </is>
      </c>
      <c r="D6" s="14" t="inlineStr">
        <is>
          <t>https://mysol.jsm.gov.my/getPdfFileForAdmin/eyJpdiI6Ii8xUi91Uk1LTWs2L0srcHFMSFJnWlE9PSIsInZhbHVlIjoiSmd4Z2NubFhya2dCNU9CVm90SDVLdz09IiwibWFjIjoiNTZmYjAyMjI5OTU4YjljOTU3Y2I4ZDY2YTE5YmI1MDFmZjU5YjA5MWQwN2IwYzBiMDM1ZjAxMWI0NzljYjY0ZiJ9</t>
        </is>
      </c>
    </row>
    <row r="7">
      <c r="A7" s="14" t="inlineStr">
        <is>
          <t>Akta 737</t>
        </is>
      </c>
      <c r="B7" s="14" t="inlineStr">
        <is>
          <t>Akta Peranti Perubatan 2012 (Akta 737) / Medical Device Act 2012</t>
        </is>
      </c>
      <c r="C7" s="14" t="inlineStr">
        <is>
          <t>Teks penuh dibaca daripada cetakan semula Undang-Undang Malaysia yang dihoskan UMMC: susunan seksyen, s. 2, 3, 4, 5-7, 15-25, 37-45 dan 77. Nombor s. 5 dan 15 turut disahkan melalui notifikasi WTO.</t>
        </is>
      </c>
      <c r="D7" s="14" t="inlineStr">
        <is>
          <t>https://www.ummc.edu.my/files/ethic/Medical%20Device%20Act%202012.pdf</t>
        </is>
      </c>
    </row>
    <row r="8">
      <c r="A8" s="14" t="inlineStr">
        <is>
          <t>PPP 2012</t>
        </is>
      </c>
      <c r="B8" s="14" t="inlineStr">
        <is>
          <t>Peraturan-Peraturan Peranti Perubatan 2012 (Medical Device Regulations 2012), P.U.(A) 500/2012</t>
        </is>
      </c>
      <c r="C8" s="14" t="inlineStr">
        <is>
          <t>Sumber kedua. Tajuk dan nombor P.U. diambil daripada senarai perundangan rasmi MDA. Kandungan (pendaftaran peranti, Lesen Establismen sah 3 tahun, pengilang perlu sistem kualiti ISO 13485, pelabelan di bawah Jadual Keenam) diambil daripada TÜV SÜD dan slaid industri. Teks peraturan tidak dapat dicapai kerana laman MDA dan AGC menyekat akses, jadi tiada nombor peraturan dipetik.</t>
        </is>
      </c>
      <c r="D8" s="14" t="inlineStr">
        <is>
          <t>https://www.mda.gov.my/index.php/doc-list/legislation</t>
        </is>
      </c>
    </row>
    <row r="9">
      <c r="A9" s="14" t="inlineStr">
        <is>
          <t>PPP Kewajipan Establismen 2019</t>
        </is>
      </c>
      <c r="B9" s="14" t="inlineStr">
        <is>
          <t>Medical Device (Duties and Obligations of Establishments) Regulations 2019, P.U.(A) 318/2019</t>
        </is>
      </c>
      <c r="C9" s="14" t="inlineStr">
        <is>
          <t>Sumber kedua. Tajuk dan nombor P.U. daripada senarai perundangan MDA, dan kandungan (rekod pengedaran, aduan, pelaporan masalah, penarikan balik) daripada ringkasan firma guaman Tay &amp; Partners. Tiada nombor peraturan dipetik.</t>
        </is>
      </c>
      <c r="D9" s="14" t="inlineStr">
        <is>
          <t>https://taypartners.com.my/insidertaps-8-january-2020/</t>
        </is>
      </c>
    </row>
    <row r="10">
      <c r="A10" s="14" t="inlineStr">
        <is>
          <t>PPP Pengiklanan 2019</t>
        </is>
      </c>
      <c r="B10" s="14" t="inlineStr">
        <is>
          <t>Medical Device (Advertising) Regulations 2019, P.U.(A) 317/2019</t>
        </is>
      </c>
      <c r="C10" s="14" t="inlineStr">
        <is>
          <t>Sumber kedua. Tajuk dan nombor P.U. daripada senarai perundangan MDA, dan kandungan (kelulusan iklan oleh MDA, pernyataan nombor pendaftaran) daripada ringkasan Tay &amp; Partners. Tiada nombor peraturan dipetik.</t>
        </is>
      </c>
      <c r="D10" s="14" t="inlineStr">
        <is>
          <t>https://taypartners.com.my/insidertaps-8-january-2020/</t>
        </is>
      </c>
    </row>
    <row r="11">
      <c r="A11" s="14" t="inlineStr">
        <is>
          <t>MDA/GD/0026</t>
        </is>
      </c>
      <c r="B11" s="14" t="inlineStr">
        <is>
          <t>Garis panduan MDA: Requirements for Labelling of Medical Devices (MDA/GD/0026)</t>
        </is>
      </c>
      <c r="C11" s="14" t="inlineStr">
        <is>
          <t>Sumber kedua: ringkasan perunding (Flexly Consulting, Andaman Medical) bagi edisi kelima hingga ketujuh, termasuk label Bahasa Melayu dan Bahasa Inggeris bagi peranti kegunaan di rumah dan nombor pendaftaran MDA. Dokumen MDA tidak dapat dicapai.</t>
        </is>
      </c>
      <c r="D11" s="14" t="inlineStr">
        <is>
          <t>https://flexlyconsulting.com/labelling-requirements-for-medical-devices-in-malaysia/</t>
        </is>
      </c>
    </row>
    <row r="12">
      <c r="A12" s="14" t="inlineStr">
        <is>
          <t>APD 2011</t>
        </is>
      </c>
      <c r="B12" s="14" t="inlineStr">
        <is>
          <t>Akta Perihal Dagangan 2011 (Akta 730)</t>
        </is>
      </c>
      <c r="C12" s="14" t="inlineStr">
        <is>
          <t>Sumber kedua: artikel jurnal Universiti Malaya yang memetik s. 28 dan s. 29.</t>
        </is>
      </c>
      <c r="D12" s="14" t="inlineStr">
        <is>
          <t>https://jier.um.edu.my/index.php/JS/article/download/6922/4584</t>
        </is>
      </c>
    </row>
    <row r="13">
      <c r="A13" s="14" t="inlineStr">
        <is>
          <t>Perintah Takrif Halal 2011</t>
        </is>
      </c>
      <c r="B13" s="14" t="inlineStr">
        <is>
          <t>Perintah Perihal Dagangan (Takrif Halal) 2011, P.U.(A) 430/2011</t>
        </is>
      </c>
      <c r="C13" s="14" t="inlineStr">
        <is>
          <t>Sumber kedua: artikel jurnal Universiti Malaya yang memetik perenggan 3(1)(a)-(g) (takrif halal bagi makanan dan barang-barang, termasuk larangan bahagian manusia dan najis), 3(2) dan 4 (representasi mengelirukan, termasuk ayat al-Quran dan objek keagamaan).</t>
        </is>
      </c>
      <c r="D13" s="14" t="inlineStr">
        <is>
          <t>https://jier.um.edu.my/index.php/JS/article/download/6922/4584</t>
        </is>
      </c>
    </row>
    <row r="14">
      <c r="A14" s="14" t="inlineStr">
        <is>
          <t>Perintah Perakuan &amp; Penandaan Halal 2011</t>
        </is>
      </c>
      <c r="B14" s="14" t="inlineStr">
        <is>
          <t>Perintah Perihal Dagangan (Perakuan dan Penandaan Halal) 2011, P.U.(A) 431/2011</t>
        </is>
      </c>
      <c r="C14" s="14" t="inlineStr">
        <is>
          <t>Teks penuh warta dibaca bagi perenggan 1-9, termasuk 3 (pihak berkuasa berwibawa), 4(1) (perakuan dan penandaan makanan dan barang-barang), 5 (sijil halal luar negara dan penandaan nama badan pensijilan) dan 6 (cara penandaan logo).</t>
        </is>
      </c>
      <c r="D14" s="14" t="inlineStr">
        <is>
          <t>https://login.totalweblite.com/Clients/halalfood/431wartaperakuanhalal.pdf</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2026-10-06T15:29:23Z</dcterms:created>
  <dcterms:modified xmlns:dcterms="http://purl.org/dc/terms/" xmlns:xsi="http://www.w3.org/2001/XMLSchema-instance" xsi:type="dcterms:W3CDTF">2026-10-06T15:29:23Z</dcterms:modified>
</cp:coreProperties>
</file>