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arai Semak" sheetId="1" state="visible" r:id="rId1"/>
    <sheet xmlns:r="http://schemas.openxmlformats.org/officeDocument/2006/relationships" name="Ringkasan" sheetId="2" state="visible" r:id="rId2"/>
    <sheet xmlns:r="http://schemas.openxmlformats.org/officeDocument/2006/relationships" name="Penemuan" sheetId="3" state="visible" r:id="rId3"/>
    <sheet xmlns:r="http://schemas.openxmlformats.org/officeDocument/2006/relationships" name="Rujukan" sheetId="4" state="visible" r:id="rId4"/>
  </sheets>
  <definedNames>
    <definedName name="_xlnm.Print_Titles" localSheetId="0">'Senarai Semak'!$5:$5</definedName>
    <definedName name="_xlnm.Print_Area" localSheetId="0">'Senarai Semak'!$A$1:$E$744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sz val="9"/>
    </font>
    <font>
      <b val="1"/>
      <color rgb="00FFFFFF"/>
    </font>
    <font>
      <b val="1"/>
    </font>
    <font>
      <b val="1"/>
      <sz val="13"/>
    </font>
  </fonts>
  <fills count="4">
    <fill>
      <patternFill/>
    </fill>
    <fill>
      <patternFill patternType="gray125"/>
    </fill>
    <fill>
      <patternFill patternType="solid">
        <fgColor rgb="001F5132"/>
      </patternFill>
    </fill>
    <fill>
      <patternFill patternType="solid">
        <fgColor rgb="00D9EAD3"/>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5"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3" fillId="2" borderId="1" pivotButton="0" quotePrefix="0" xfId="0"/>
    <xf numFmtId="0" fontId="0" fillId="0" borderId="1" pivotButton="0" quotePrefix="0" xfId="0"/>
    <xf numFmtId="0" fontId="0" fillId="0" borderId="0"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744"/>
  <sheetViews>
    <sheetView workbookViewId="0">
      <pane ySplit="5" topLeftCell="A6" activePane="bottomLeft" state="frozen"/>
      <selection pane="bottomLeft" activeCell="A1" sqref="A1"/>
    </sheetView>
  </sheetViews>
  <sheetFormatPr baseColWidth="8" defaultRowHeight="15"/>
  <cols>
    <col width="6" customWidth="1" min="1" max="1"/>
    <col width="64" customWidth="1" min="2" max="2"/>
    <col width="32" customWidth="1" min="3" max="3"/>
    <col width="11" customWidth="1" min="4" max="4"/>
    <col width="28" customWidth="1" min="5" max="5"/>
    <col hidden="1" width="13" customWidth="1" min="6" max="6"/>
  </cols>
  <sheetData>
    <row r="1">
      <c r="A1" s="1" t="inlineStr">
        <is>
          <t>Senarai Semak Audit Halal: Skim Produk Makanan dan Minuman</t>
        </is>
      </c>
    </row>
    <row r="2">
      <c r="A2" t="inlineStr">
        <is>
          <t>Premis/syarikat: ______________________________   Jenis operasi: __________   Tarikh: ____________   Juruaudit: ______________________</t>
        </is>
      </c>
    </row>
    <row r="3" ht="28" customHeight="1">
      <c r="A3" s="2" t="inlineStr">
        <is>
          <t>Ya = patuh, Tidak = tidak patuh, TB = tidak berkaitan. Rujukan bertanda * = hanya tajuk klausa disahkan dari pratonton rasmi JSM; isi diringkaskan. (saranan) = klausa cadangan (should), bukan kewajipan (shall). Senarai rujukan penuh di helaian 'Rujukan'.</t>
        </is>
      </c>
    </row>
    <row r="5">
      <c r="A5" s="3" t="inlineStr">
        <is>
          <t>No</t>
        </is>
      </c>
      <c r="B5" s="3" t="inlineStr">
        <is>
          <t>Keperluan</t>
        </is>
      </c>
      <c r="C5" s="3" t="inlineStr">
        <is>
          <t>Rujukan</t>
        </is>
      </c>
      <c r="D5" s="3" t="inlineStr">
        <is>
          <t>Ya/Tidak/TB</t>
        </is>
      </c>
      <c r="E5" s="3" t="inlineStr">
        <is>
          <t>Bukti / Catatan</t>
        </is>
      </c>
    </row>
    <row r="6">
      <c r="A6" s="4" t="inlineStr">
        <is>
          <t>Bahagian A: Kelayakan, Lesen &amp; Skop Permohonan</t>
        </is>
      </c>
      <c r="B6" s="5" t="n"/>
      <c r="C6" s="5" t="n"/>
      <c r="D6" s="5" t="n"/>
      <c r="E6" s="6" t="n"/>
    </row>
    <row r="7" ht="26" customHeight="1">
      <c r="A7" s="2" t="inlineStr">
        <is>
          <t>Semak dokumen pendaftaran, lesen dan permohonan MYeHALAL di pejabat, kemudian padankan senarai produk dan jenama dengan barisan pengeluaran serta stor produk siap.</t>
        </is>
      </c>
    </row>
    <row r="8">
      <c r="A8" s="7" t="inlineStr">
        <is>
          <t>A1</t>
        </is>
      </c>
      <c r="B8" s="7" t="inlineStr">
        <is>
          <t>Pendaftaran perniagaan (SSM, koperasi atau dokumen penubuhan) masih sah, dan nama serta alamat syarikat sama dengan permohonan SPHM.</t>
        </is>
      </c>
      <c r="C8" s="7" t="inlineStr">
        <is>
          <t>MPPHM 5(1)</t>
        </is>
      </c>
      <c r="D8" s="7" t="inlineStr"/>
      <c r="E8" s="7" t="inlineStr"/>
      <c r="F8" t="inlineStr">
        <is>
          <t>A</t>
        </is>
      </c>
    </row>
    <row r="9">
      <c r="A9" s="7" t="inlineStr">
        <is>
          <t>A2</t>
        </is>
      </c>
      <c r="B9" s="7" t="inlineStr">
        <is>
          <t>Lesen atau kelulusan PBT bagi premis pengeluaran masih sah dan sepadan dengan alamat serta aktiviti premis. Bagi premis yang tidak dilesenkan oleh PBT, surat pengesahan daripada agensi Kerajaan yang berkaitan masih sah.</t>
        </is>
      </c>
      <c r="C9" s="7" t="inlineStr">
        <is>
          <t>MPPHM 5(2)</t>
        </is>
      </c>
      <c r="D9" s="7" t="inlineStr"/>
      <c r="E9" s="7" t="inlineStr"/>
      <c r="F9" t="inlineStr">
        <is>
          <t>A</t>
        </is>
      </c>
    </row>
    <row r="10">
      <c r="A10" s="7" t="inlineStr">
        <is>
          <t>A3</t>
        </is>
      </c>
      <c r="B10" s="7" t="inlineStr">
        <is>
          <t>Perakuan Pendaftaran Premis Makanan daripada BKKM masih sah bagi setiap premis pengeluaran (termasuk dapur pusat) dan dipamerkan di tempat yang mudah dilihat.</t>
        </is>
      </c>
      <c r="C10" s="7" t="inlineStr">
        <is>
          <t>MPPHM 5(3), 18(1)(a); PKM per. 3, 5, 8(1)(a)</t>
        </is>
      </c>
      <c r="D10" s="7" t="inlineStr"/>
      <c r="E10" s="7" t="inlineStr"/>
      <c r="F10" t="inlineStr">
        <is>
          <t>A</t>
        </is>
      </c>
    </row>
    <row r="11">
      <c r="A11" s="7" t="inlineStr">
        <is>
          <t>A4</t>
        </is>
      </c>
      <c r="B11" s="7" t="inlineStr">
        <is>
          <t>Pembaharuan Perakuan Pendaftaran Premis Makanan dimohon sekurang-kurangnya 30 hari sebelum tamat tempoh. Tempoh sah perakuan tidak melebihi 3 tahun.</t>
        </is>
      </c>
      <c r="C11" s="7" t="inlineStr">
        <is>
          <t>PKM per. 6, 7</t>
        </is>
      </c>
      <c r="D11" s="7" t="inlineStr"/>
      <c r="E11" s="7" t="inlineStr"/>
      <c r="F11" t="inlineStr">
        <is>
          <t>A</t>
        </is>
      </c>
    </row>
    <row r="12">
      <c r="A12" s="7" t="inlineStr">
        <is>
          <t>A5</t>
        </is>
      </c>
      <c r="B12" s="7" t="inlineStr">
        <is>
          <t>Pemproses produk berasaskan haiwan (jika berkaitan, cth. produk daging, tenusu, telur atau sarang burung walit): Skim Pensijilan Veterinar (VHM) atau surat perakuan JPV masih sah.</t>
        </is>
      </c>
      <c r="C12" s="7" t="inlineStr">
        <is>
          <t>MPPHM 5(4), 17(8)(i)</t>
        </is>
      </c>
      <c r="D12" s="7" t="inlineStr"/>
      <c r="E12" s="7" t="inlineStr"/>
      <c r="F12" t="inlineStr">
        <is>
          <t>A</t>
        </is>
      </c>
    </row>
    <row r="13">
      <c r="A13" s="7" t="inlineStr">
        <is>
          <t>A6</t>
        </is>
      </c>
      <c r="B13" s="7" t="inlineStr">
        <is>
          <t>Produk interfasa makanan-dadah (jika ada, cth. produk herba atau nutrien dalam bentuk kapsul, tablet atau serbuk): surat pengkelasan produk daripada NPRA tersedia bagi setiap produk, dan pengkelasannya selaras dengan permohonan di bawah skim ini (produk dikawal sebagai makanan).</t>
        </is>
      </c>
      <c r="C13" s="7" t="inlineStr">
        <is>
          <t>MPPHM 18(1)(d)</t>
        </is>
      </c>
      <c r="D13" s="7" t="inlineStr"/>
      <c r="E13" s="7" t="inlineStr"/>
      <c r="F13" t="inlineStr">
        <is>
          <t>A</t>
        </is>
      </c>
    </row>
    <row r="14">
      <c r="A14" s="7" t="inlineStr">
        <is>
          <t>A7</t>
        </is>
      </c>
      <c r="B14" s="7" t="inlineStr">
        <is>
          <t>Kategori industri dalam permohonan sepadan dengan nilai perolehan tahunan syarikat: mikro kurang daripada RM300,000; kecil RM300,000 hingga RM14,999,999.99; sederhana RM15 juta hingga RM50 juta; besar melebihi RM50 juta. Kategori ini menentukan bilangan pekerja Muslim dan sistem yang diperlukan (HAS atau IHCS).</t>
        </is>
      </c>
      <c r="C14" s="7" t="inlineStr">
        <is>
          <t>MPPHM 8 (Jadual 1), 18(1)(f)</t>
        </is>
      </c>
      <c r="D14" s="7" t="inlineStr"/>
      <c r="E14" s="7" t="inlineStr"/>
      <c r="F14" t="inlineStr">
        <is>
          <t>A</t>
        </is>
      </c>
    </row>
    <row r="15">
      <c r="A15" s="7" t="inlineStr">
        <is>
          <t>A8</t>
        </is>
      </c>
      <c r="B15" s="7" t="inlineStr">
        <is>
          <t>Premis telah beroperasi sepenuhnya sekurang-kurangnya 3 bulan sebelum memohon (pemohon baharu), atau sekurang-kurangnya 1 bulan di premis baharu (syarikat yang berpindah lokasi).</t>
        </is>
      </c>
      <c r="C15" s="7" t="inlineStr">
        <is>
          <t>MPPHM 5(7), 5(8)</t>
        </is>
      </c>
      <c r="D15" s="7" t="inlineStr"/>
      <c r="E15" s="7" t="inlineStr"/>
      <c r="F15" t="inlineStr">
        <is>
          <t>A</t>
        </is>
      </c>
    </row>
    <row r="16">
      <c r="A16" s="7" t="inlineStr">
        <is>
          <t>A9</t>
        </is>
      </c>
      <c r="B16" s="7" t="inlineStr">
        <is>
          <t>Syarikat hanya mengeluar dan/atau mengendalikan produk halal, termasuk produk dagangan, dan tidak mengeluar atau mengedar sebarang produk tidak halal.</t>
        </is>
      </c>
      <c r="C16" s="7" t="inlineStr">
        <is>
          <t>MPPHM 5(9), 6(1), 6(2)</t>
        </is>
      </c>
      <c r="D16" s="7" t="inlineStr"/>
      <c r="E16" s="7" t="inlineStr"/>
      <c r="F16" t="inlineStr">
        <is>
          <t>A</t>
        </is>
      </c>
    </row>
    <row r="17">
      <c r="A17" s="7" t="inlineStr">
        <is>
          <t>A10</t>
        </is>
      </c>
      <c r="B17" s="7" t="inlineStr">
        <is>
          <t>Jenama yang sama tidak digunakan bagi produk halal dan produk tidak halal.</t>
        </is>
      </c>
      <c r="C17" s="7" t="inlineStr">
        <is>
          <t>MPPHM 6(3)</t>
        </is>
      </c>
      <c r="D17" s="7" t="inlineStr"/>
      <c r="E17" s="7" t="inlineStr"/>
      <c r="F17" t="inlineStr">
        <is>
          <t>A</t>
        </is>
      </c>
    </row>
    <row r="18">
      <c r="A18" s="7" t="inlineStr">
        <is>
          <t>A11</t>
        </is>
      </c>
      <c r="B18" s="7" t="inlineStr">
        <is>
          <t>Semua produk yang masih dikeluarkan di premis telah dipohon SPHM. Setiap produk baharu dipohon melalui permohonan penambahan sebelum dipasarkan sebagai produk halal.</t>
        </is>
      </c>
      <c r="C18" s="7" t="inlineStr">
        <is>
          <t>MPPHM 5(10), 17(2)(b), 23</t>
        </is>
      </c>
      <c r="D18" s="7" t="inlineStr"/>
      <c r="E18" s="7" t="inlineStr"/>
      <c r="F18" t="inlineStr">
        <is>
          <t>A</t>
        </is>
      </c>
    </row>
    <row r="19">
      <c r="A19" s="7" t="inlineStr">
        <is>
          <t>A12</t>
        </is>
      </c>
      <c r="B19" s="7" t="inlineStr">
        <is>
          <t>Produk dalam senarai permohonan yang tidak diproses sepanjang tempoh sah SPHM terdahulu dikenal pasti. Produk itu boleh digugurkan daripada senarai permohonan.</t>
        </is>
      </c>
      <c r="C19" s="7" t="inlineStr">
        <is>
          <t>MPPHM 17(2)(e)</t>
        </is>
      </c>
      <c r="D19" s="7" t="inlineStr"/>
      <c r="E19" s="7" t="inlineStr"/>
      <c r="F19" t="inlineStr">
        <is>
          <t>A</t>
        </is>
      </c>
    </row>
    <row r="20">
      <c r="A20" s="7" t="inlineStr">
        <is>
          <t>A13</t>
        </is>
      </c>
      <c r="B20" s="7" t="inlineStr">
        <is>
          <t>Produk hasil R&amp;D yang dipohon sudah sedia dikomersialkan: bahannya tersedia untuk diperiksa semasa audit, tiada perubahan bahan atau pembungkusan, ujian larian telah dibuat, dan produk diluluskan pengurusan. Produk yang masih di peringkat awal R&amp;D tidak dipohon.</t>
        </is>
      </c>
      <c r="C20" s="7" t="inlineStr">
        <is>
          <t>MPPHM 17(2)(h), 6(10)</t>
        </is>
      </c>
      <c r="D20" s="7" t="inlineStr"/>
      <c r="E20" s="7" t="inlineStr"/>
      <c r="F20" t="inlineStr">
        <is>
          <t>A</t>
        </is>
      </c>
    </row>
    <row r="21">
      <c r="A21" s="7" t="inlineStr">
        <is>
          <t>A14</t>
        </is>
      </c>
      <c r="B21" s="7" t="inlineStr">
        <is>
          <t>Semua produk yang dipohon ialah makanan atau minuman (termasuk bahan makanan) yang telah diproses, dibungkus dan dilabel, dan mempunyai standard rujukan (MS 1500:2019). Produk semula jadi yang tidak diproses (cth. ikan segar, sayur segar, telur) dan produk yang tidak memerlukan pensijilan halal tidak dimasukkan.</t>
        </is>
      </c>
      <c r="C21" s="7" t="inlineStr">
        <is>
          <t>MPPHM 6(4), 6(6), 6(13)</t>
        </is>
      </c>
      <c r="D21" s="7" t="inlineStr"/>
      <c r="E21" s="7" t="inlineStr"/>
      <c r="F21" t="inlineStr">
        <is>
          <t>A</t>
        </is>
      </c>
    </row>
    <row r="22">
      <c r="A22" s="7" t="inlineStr">
        <is>
          <t>A15</t>
        </is>
      </c>
      <c r="B22" s="7" t="inlineStr">
        <is>
          <t>Tiada produk yang memberi implikasi negatif terhadap agama dan sosial (cth. perisa shisha, produk tembakau), atau yang boleh membawa kepada penyelewengan akidah, khurafat atau penipuan (cth. 'air penawar', produk 'pelaris').</t>
        </is>
      </c>
      <c r="C22" s="7" t="inlineStr">
        <is>
          <t>MPPHM 6(5), 6(11)</t>
        </is>
      </c>
      <c r="D22" s="7" t="inlineStr"/>
      <c r="E22" s="7" t="inlineStr"/>
      <c r="F22" t="inlineStr">
        <is>
          <t>A</t>
        </is>
      </c>
    </row>
    <row r="23">
      <c r="A23" s="7" t="inlineStr">
        <is>
          <t>A16</t>
        </is>
      </c>
      <c r="B23" s="7" t="inlineStr">
        <is>
          <t>Nama syarikat, jenama, produk dan bahan tidak menggunakan perkataan 'halal' atau representasi yang menunjukkan kegunaan khusus orang Islam.</t>
        </is>
      </c>
      <c r="C23" s="7" t="inlineStr">
        <is>
          <t>MPPHM 5(12)</t>
        </is>
      </c>
      <c r="D23" s="7" t="inlineStr"/>
      <c r="E23" s="7" t="inlineStr"/>
      <c r="F23" t="inlineStr">
        <is>
          <t>A</t>
        </is>
      </c>
    </row>
    <row r="24">
      <c r="A24" s="7" t="inlineStr">
        <is>
          <t>A17</t>
        </is>
      </c>
      <c r="B24" s="7" t="inlineStr">
        <is>
          <t>Nama syarikat, jenama dan produk tidak merujuk kepada, bersinonim dengan atau menyerupai produk tidak halal (cth. ham, bacon, beer, rum, hot dog, char siew, bak kut teh). Ini termasuk minuman bebas alkohol yang dinamakan seperti arak (cth. 'beer' malt, 'wine' anggur).</t>
        </is>
      </c>
      <c r="C24" s="7" t="inlineStr">
        <is>
          <t>MPPHM 6(7), Lampiran A</t>
        </is>
      </c>
      <c r="D24" s="7" t="inlineStr"/>
      <c r="E24" s="7" t="inlineStr"/>
      <c r="F24" t="inlineStr">
        <is>
          <t>A</t>
        </is>
      </c>
    </row>
    <row r="25">
      <c r="A25" s="7" t="inlineStr">
        <is>
          <t>A18</t>
        </is>
      </c>
      <c r="B25" s="7" t="inlineStr">
        <is>
          <t>Pembungkus semula: setiap produk yang dibungkus semula mempunyai sijil halal yang diiktiraf dan masih sah daripada pengeluar asal, dengan dokumen sumber yang jelas (invois, nombor kelompok, pembekal).</t>
        </is>
      </c>
      <c r="C25" s="7" t="inlineStr">
        <is>
          <t>MPPHM 5(11), 17(1)(f)</t>
        </is>
      </c>
      <c r="D25" s="7" t="inlineStr"/>
      <c r="E25" s="7" t="inlineStr"/>
      <c r="F25" t="inlineStr">
        <is>
          <t>A</t>
        </is>
      </c>
    </row>
    <row r="26">
      <c r="A26" s="7" t="inlineStr">
        <is>
          <t>A19</t>
        </is>
      </c>
      <c r="B26" s="7" t="inlineStr">
        <is>
          <t>Pembungkus semula: tiada produk siap (tempatan atau import) yang hanya dilabel semula tanpa menjalani sebarang proses di Malaysia dimasukkan dalam permohonan.</t>
        </is>
      </c>
      <c r="C26" s="7" t="inlineStr">
        <is>
          <t>MPPHM 6(8)</t>
        </is>
      </c>
      <c r="D26" s="7" t="inlineStr"/>
      <c r="E26" s="7" t="inlineStr"/>
      <c r="F26" t="inlineStr">
        <is>
          <t>A</t>
        </is>
      </c>
    </row>
    <row r="27">
      <c r="A27" s="7" t="inlineStr">
        <is>
          <t>A20</t>
        </is>
      </c>
      <c r="B27" s="7" t="inlineStr">
        <is>
          <t>Dapur pusat (jika berkaitan): permohonan SPHM bagi dapur pusat yang membekalkan makanan kepada outlet premis makanan dibuat di bawah skim Produk Makanan dan Minuman, bukan skim Premis Makanan, dan semua produk separa siap dan siap yang dibekalkan kepada outlet disenaraikan dalam permohonan.</t>
        </is>
      </c>
      <c r="C27" s="7" t="inlineStr">
        <is>
          <t>MPPHM 18(4)(e), 5(10)</t>
        </is>
      </c>
      <c r="D27" s="7" t="inlineStr"/>
      <c r="E27" s="7" t="inlineStr"/>
      <c r="F27" t="inlineStr">
        <is>
          <t>A</t>
        </is>
      </c>
    </row>
    <row r="28">
      <c r="A28" s="7" t="inlineStr">
        <is>
          <t>A21</t>
        </is>
      </c>
      <c r="B28" s="7" t="inlineStr">
        <is>
          <t>Jika kilang turut mengeluarkan produk untuk jenama syarikat lain (pengilangan kontrak atau pembungkusan secara toll), kilang telah memperoleh SPHM skim Pengilangan Kontrak/OEM sebelum menawarkan perkhidmatan itu.</t>
        </is>
      </c>
      <c r="C28" s="7" t="inlineStr">
        <is>
          <t>MPPHM 17(17)(a), 18(8)</t>
        </is>
      </c>
      <c r="D28" s="7" t="inlineStr"/>
      <c r="E28" s="7" t="inlineStr"/>
      <c r="F28" t="inlineStr">
        <is>
          <t>A</t>
        </is>
      </c>
    </row>
    <row r="29">
      <c r="A29" s="7" t="inlineStr">
        <is>
          <t>A22</t>
        </is>
      </c>
      <c r="B29" s="7" t="inlineStr">
        <is>
          <t>Jika syarikat melantik pengilang kontrak untuk mengeluarkan produk jenamanya, pengilang itu sudah memegang SPHM skim Pengilangan Kontrak/OEM yang sah sebelum dilantik.</t>
        </is>
      </c>
      <c r="C29" s="7" t="inlineStr">
        <is>
          <t>MPPHM 17(17)(b), 18(8)</t>
        </is>
      </c>
      <c r="D29" s="7" t="inlineStr"/>
      <c r="E29" s="7" t="inlineStr"/>
      <c r="F29" t="inlineStr">
        <is>
          <t>A</t>
        </is>
      </c>
    </row>
    <row r="30">
      <c r="A30" s="7" t="inlineStr">
        <is>
          <t>A23</t>
        </is>
      </c>
      <c r="B30" s="7" t="inlineStr">
        <is>
          <t>Produk eksport: setiap versi formulasi atau label yang berbeza bagi pasaran eksport diisytiharkan dalam MYeHALAL, dan bahan dalam versi itu turut tersenarai dalam Senarai Utama Bahan Mentah.</t>
        </is>
      </c>
      <c r="C30" s="7" t="inlineStr">
        <is>
          <t>MPPHM 17(1)(g), 17(2)(c); MHMS 5(7)</t>
        </is>
      </c>
      <c r="D30" s="7" t="inlineStr"/>
      <c r="E30" s="7" t="inlineStr"/>
      <c r="F30" t="inlineStr">
        <is>
          <t>A</t>
        </is>
      </c>
    </row>
    <row r="31">
      <c r="A31" s="7" t="inlineStr">
        <is>
          <t>A24</t>
        </is>
      </c>
      <c r="B31" s="7" t="inlineStr">
        <is>
          <t>Rumusan (ditanda selepas audit lapangan): keputusan bahagian B hingga M tidak menunjukkan ketidakakuran yang belum diperbetulkan terhadap MS 1500:2019, Akta Makanan 1983, PM 1985 dan PKM 2009.</t>
        </is>
      </c>
      <c r="C31" s="7" t="inlineStr">
        <is>
          <t>MPPHM 18(1)(e), 17(2)(g), 17(8)(m), 17(16)(a); MS 1500 kl. 4.8*, kl. 5*</t>
        </is>
      </c>
      <c r="D31" s="7" t="inlineStr"/>
      <c r="E31" s="7" t="inlineStr"/>
      <c r="F31" t="inlineStr">
        <is>
          <t>A</t>
        </is>
      </c>
    </row>
    <row r="32">
      <c r="A32" s="4" t="inlineStr">
        <is>
          <t>Bahagian B: Pengurusan Halal &amp; MHMS mengikut Saiz Industri</t>
        </is>
      </c>
      <c r="B32" s="5" t="n"/>
      <c r="C32" s="5" t="n"/>
      <c r="D32" s="5" t="n"/>
      <c r="E32" s="6" t="n"/>
    </row>
    <row r="33" ht="26" customHeight="1">
      <c r="A33" s="2" t="inlineStr">
        <is>
          <t>Semak manual HAS atau dokumen IHCS, surat lantikan, minit JKHD, laporan audit dalaman dan semakan HAS, kemudian sahkan pelaksanaannya melalui temu bual dengan pengurusan atasan, Eksekutif atau Penyelia Halal dan pekerja.</t>
        </is>
      </c>
    </row>
    <row r="34">
      <c r="A34" s="7" t="inlineStr">
        <is>
          <t>B1</t>
        </is>
      </c>
      <c r="B34" s="7" t="inlineStr">
        <is>
          <t>Pengurusan atasan menunjukkan komitmen terhadap halal: tanggungjawab pengurusan halal ditetapkan, dan sumber kewangan, infrastruktur serta tenaga kerja dengan beban tugas yang sesuai disediakan.</t>
        </is>
      </c>
      <c r="C34" s="7" t="inlineStr">
        <is>
          <t>MS 1500 kl. 4.1*; MHMS 5(4) (JKHD)</t>
        </is>
      </c>
      <c r="D34" s="7" t="inlineStr"/>
      <c r="E34" s="7" t="inlineStr"/>
      <c r="F34" t="inlineStr">
        <is>
          <t>B</t>
        </is>
      </c>
    </row>
    <row r="35">
      <c r="A35" s="7" t="inlineStr">
        <is>
          <t>B2</t>
        </is>
      </c>
      <c r="B35" s="7" t="inlineStr">
        <is>
          <t>Polisi halal bertulis menyatakan dengan jelas komitmen syarikat untuk menghasilkan produk halal dan mematuhi keperluan Pensijilan Halal Malaysia secara menyeluruh. Polisi itu dipamerkan dan dimaklumkan kepada pekerja dan pihak berkepentingan, dan pekerja yang ditemu bual dapat menerangkannya.</t>
        </is>
      </c>
      <c r="C35" s="7" t="inlineStr">
        <is>
          <t>MHMS 5(2) (Polisi Halal), 6, 7(1)</t>
        </is>
      </c>
      <c r="D35" s="7" t="inlineStr"/>
      <c r="E35" s="7" t="inlineStr"/>
      <c r="F35" t="inlineStr">
        <is>
          <t>B</t>
        </is>
      </c>
    </row>
    <row r="36">
      <c r="A36" s="7" t="inlineStr">
        <is>
          <t>B3</t>
        </is>
      </c>
      <c r="B36" s="7" t="inlineStr">
        <is>
          <t>Sistem yang dilaksanakan sepadan dengan kategori industri: industri besar dan sederhana melaksanakan HAS secara menyeluruh, manakala industri kecil dan mikro melaksanakan IHCS.</t>
        </is>
      </c>
      <c r="C36" s="7" t="inlineStr">
        <is>
          <t>MPPHM 17(13)(a), 18(1)(f), 19, 20; MHMS 7(1)</t>
        </is>
      </c>
      <c r="D36" s="7" t="inlineStr"/>
      <c r="E36" s="7" t="inlineStr"/>
      <c r="F36" t="inlineStr">
        <is>
          <t>B</t>
        </is>
      </c>
    </row>
    <row r="37">
      <c r="A37" s="7" t="inlineStr">
        <is>
          <t>B4</t>
        </is>
      </c>
      <c r="B37" s="7" t="inlineStr">
        <is>
          <t>Kecil/mikro (IHCS): polisi halal, prosedur kawalan bahan mentah dan prosedur kebolehkesanan didokumenkan, dan ketiga-tiganya dilaksanakan seperti yang ditulis.</t>
        </is>
      </c>
      <c r="C37" s="7" t="inlineStr">
        <is>
          <t>MPPHM 18(1)(f), 19; MHMS 6, 7(1)</t>
        </is>
      </c>
      <c r="D37" s="7" t="inlineStr"/>
      <c r="E37" s="7" t="inlineStr"/>
      <c r="F37" t="inlineStr">
        <is>
          <t>B</t>
        </is>
      </c>
    </row>
    <row r="38">
      <c r="A38" s="7" t="inlineStr">
        <is>
          <t>B5</t>
        </is>
      </c>
      <c r="B38" s="7" t="inlineStr">
        <is>
          <t>Kecil: Penyelia Halal (Muslim, warganegara Malaysia, berjawatan tetap) dilantik secara bertulis untuk menyelia kawasan pemprosesan.</t>
        </is>
      </c>
      <c r="C38" s="7" t="inlineStr">
        <is>
          <t>MPPHM 3, 18(1)(f)</t>
        </is>
      </c>
      <c r="D38" s="7" t="inlineStr"/>
      <c r="E38" s="7" t="inlineStr"/>
      <c r="F38" t="inlineStr">
        <is>
          <t>B</t>
        </is>
      </c>
    </row>
    <row r="39">
      <c r="A39" s="7" t="inlineStr">
        <is>
          <t>B6</t>
        </is>
      </c>
      <c r="B39" s="7" t="inlineStr">
        <is>
          <t>HAS (besar/sederhana): Eksekutif Halal dilantik bagi setiap cawangan premis.</t>
        </is>
      </c>
      <c r="C39" s="7" t="inlineStr">
        <is>
          <t>MPPHM 18(1)(f); MHMS 7(1)</t>
        </is>
      </c>
      <c r="D39" s="7" t="inlineStr"/>
      <c r="E39" s="7" t="inlineStr"/>
      <c r="F39" t="inlineStr">
        <is>
          <t>B</t>
        </is>
      </c>
    </row>
    <row r="40">
      <c r="A40" s="7" t="inlineStr">
        <is>
          <t>B7</t>
        </is>
      </c>
      <c r="B40" s="7" t="inlineStr">
        <is>
          <t>HAS (besar/sederhana): Eksekutif Halal ialah Muslim, warganegara Malaysia dan berjawatan tetap. Beliau memiliki Diploma Pengurusan Halal atau kelulusan setara, atau sekurang-kurangnya 5 tahun pengalaman pengurusan halal, serta Sijil Eksekutif Halal daripada Penyedia Latihan Halal yang berdaftar di bawah HPB JAKIM. Beliau dilantik secara rasmi oleh pengurusan tertinggi ke jawatan khusus pengurusan halal, dan tugas lain tidak menjejaskan tugas hakikinya.</t>
        </is>
      </c>
      <c r="C40" s="7" t="inlineStr">
        <is>
          <t>MPPHM 3; MHMS 5(3) (Eksekutif Halal)</t>
        </is>
      </c>
      <c r="D40" s="7" t="inlineStr"/>
      <c r="E40" s="7" t="inlineStr"/>
      <c r="F40" t="inlineStr">
        <is>
          <t>B</t>
        </is>
      </c>
    </row>
    <row r="41">
      <c r="A41" s="7" t="inlineStr">
        <is>
          <t>B8</t>
        </is>
      </c>
      <c r="B41" s="7" t="inlineStr">
        <is>
          <t>Setiap perubahan bahan mentah, pembekal, formulasi, produk, jenama atau proses diisytiharkan dalam MYeHALAL sebelum dilaksanakan. Bagi HAS, perubahan itu disahkan oleh Eksekutif Halal dan Senarai Utama Bahan Mentah dikemas kini.</t>
        </is>
      </c>
      <c r="C41" s="7" t="inlineStr">
        <is>
          <t>MPPHM 17(1)(g), 37, 60; MHMS 5(3), 5(7)</t>
        </is>
      </c>
      <c r="D41" s="7" t="inlineStr"/>
      <c r="E41" s="7" t="inlineStr"/>
      <c r="F41" t="inlineStr">
        <is>
          <t>B</t>
        </is>
      </c>
    </row>
    <row r="42">
      <c r="A42" s="7" t="inlineStr">
        <is>
          <t>B9</t>
        </is>
      </c>
      <c r="B42" s="7" t="inlineStr">
        <is>
          <t>HAS: manual HAS selaras dengan operasi sebenar, didokumenkan berasingan daripada sistem pengurusan lain, dikemas kini apabila berlaku perubahan, dan diluluskan pengurusan tertinggi. Manual merangkumi profil syarikat, objektif, skop, polisi halal, JKHD dan 8 prosedur: audit halal dalaman, kawalan risiko halal, kawalan bahan mentah, latihan halal, kebolehkesanan, semakan HAS, analisis makmal dan sertu. Setiap prosedur mencatat tarikh kuat kuasa, tarikh kemas kini, penyedia dan pelulusnya.</t>
        </is>
      </c>
      <c r="C42" s="7" t="inlineStr">
        <is>
          <t>MPPHM 20; MHMS 5(1) (Manual HAS)</t>
        </is>
      </c>
      <c r="D42" s="7" t="inlineStr"/>
      <c r="E42" s="7" t="inlineStr"/>
      <c r="F42" t="inlineStr">
        <is>
          <t>B</t>
        </is>
      </c>
    </row>
    <row r="43">
      <c r="A43" s="7" t="inlineStr">
        <is>
          <t>B10</t>
        </is>
      </c>
      <c r="B43" s="7" t="inlineStr">
        <is>
          <t>HAS: JKHD dilantik secara rasmi dan bertulis oleh pengurusan atasan, dengan deskripsi tugas, carta organisasi dan terma rujukan dalam manual HAS. JKHD mempunyai sekurang-kurangnya 4 ahli (Pengerusi, Eksekutif Halal, wakil pembelian dan wakil pemprosesan) dan turut melibatkan wakil Bahagian R&amp;D.</t>
        </is>
      </c>
      <c r="C43" s="7" t="inlineStr">
        <is>
          <t>MPPHM 18(1)(f); MHMS 5(4) (JKHD), 7(1)</t>
        </is>
      </c>
      <c r="D43" s="7" t="inlineStr"/>
      <c r="E43" s="7" t="inlineStr"/>
      <c r="F43" t="inlineStr">
        <is>
          <t>B</t>
        </is>
      </c>
    </row>
    <row r="44">
      <c r="A44" s="7" t="inlineStr">
        <is>
          <t>B11</t>
        </is>
      </c>
      <c r="B44" s="7" t="inlineStr">
        <is>
          <t>HAS: Pengerusi JKHD berjawatan setara atau lebih tinggi daripada Eksekutif Halal dan kompeten dalam Pensijilan Halal Malaysia (keutamaan kepada Muslim). Semua ahli ialah kakitangan tetap yang bertugas dalam syarikat. JKHD berasingan ditubuhkan bagi setiap cawangan yang mempunyai pengurusan operasi berbeza.</t>
        </is>
      </c>
      <c r="C44" s="7" t="inlineStr">
        <is>
          <t>MHMS 5(4) (JKHD)</t>
        </is>
      </c>
      <c r="D44" s="7" t="inlineStr"/>
      <c r="E44" s="7" t="inlineStr"/>
      <c r="F44" t="inlineStr">
        <is>
          <t>B</t>
        </is>
      </c>
    </row>
    <row r="45">
      <c r="A45" s="7" t="inlineStr">
        <is>
          <t>B12</t>
        </is>
      </c>
      <c r="B45" s="7" t="inlineStr">
        <is>
          <t>HAS: tugas Eksekutif Halal dan setiap ahli JKHD (Pengerusi, wakil pembelian, wakil pemprosesan) ditulis mengikut Lampiran B dan C1 MHMS, dan dilaksanakan. Contohnya: wakil pembelian menyediakan SOP pembelian bahan dan mencadangkan senarai pembekal, dan wakil pemprosesan memastikan bahan yang digunakan sepadan dengan Senarai Utama Bahan Mentah serta pekerja memahami polisi halal. Temu bual sekurang-kurangnya seorang ahli untuk mengesahkannya.</t>
        </is>
      </c>
      <c r="C45" s="7" t="inlineStr">
        <is>
          <t>MHMS 5(3) (Eksekutif Halal), 5(4) (JKHD)</t>
        </is>
      </c>
      <c r="D45" s="7" t="inlineStr"/>
      <c r="E45" s="7" t="inlineStr"/>
      <c r="F45" t="inlineStr">
        <is>
          <t>B</t>
        </is>
      </c>
    </row>
    <row r="46">
      <c r="A46" s="7" t="inlineStr">
        <is>
          <t>B13</t>
        </is>
      </c>
      <c r="B46" s="7" t="inlineStr">
        <is>
          <t>HAS: JKHD bermesyuarat sekurang-kurangnya 2 kali setahun dengan agenda halal, dan minit serta rekod JKHD disimpan dan mudah dirujuk.</t>
        </is>
      </c>
      <c r="C46" s="7" t="inlineStr">
        <is>
          <t>MHMS 5(4) (JKHD)</t>
        </is>
      </c>
      <c r="D46" s="7" t="inlineStr"/>
      <c r="E46" s="7" t="inlineStr"/>
      <c r="F46" t="inlineStr">
        <is>
          <t>B</t>
        </is>
      </c>
    </row>
    <row r="47">
      <c r="A47" s="7" t="inlineStr">
        <is>
          <t>B14</t>
        </is>
      </c>
      <c r="B47" s="7" t="inlineStr">
        <is>
          <t>HAS: mesyuarat JKHD mencapai kuorum sekurang-kurangnya 4 ahli dan keputusannya dibuat secara konsensus. Minit mesyuarat diluluskan, dan hasil mesyuarat dibentangkan kepada pengurusan atasan.</t>
        </is>
      </c>
      <c r="C47" s="7" t="inlineStr">
        <is>
          <t>MHMS 5(4) (JKHD)</t>
        </is>
      </c>
      <c r="D47" s="7" t="inlineStr"/>
      <c r="E47" s="7" t="inlineStr"/>
      <c r="F47" t="inlineStr">
        <is>
          <t>B</t>
        </is>
      </c>
    </row>
    <row r="48">
      <c r="A48" s="7" t="inlineStr">
        <is>
          <t>B15</t>
        </is>
      </c>
      <c r="B48" s="7" t="inlineStr">
        <is>
          <t>HAS: carta alir disediakan bagi setiap aliran pemprosesan produk yang berbeza, dan carta itu sepadan dengan aliran sebenar di lantai kilang.</t>
        </is>
      </c>
      <c r="C48" s="7" t="inlineStr">
        <is>
          <t>MHMS 7(1), 5(6)</t>
        </is>
      </c>
      <c r="D48" s="7" t="inlineStr"/>
      <c r="E48" s="7" t="inlineStr"/>
      <c r="F48" t="inlineStr">
        <is>
          <t>B</t>
        </is>
      </c>
    </row>
    <row r="49">
      <c r="A49" s="7" t="inlineStr">
        <is>
          <t>B16</t>
        </is>
      </c>
      <c r="B49" s="7" t="inlineStr">
        <is>
          <t>HAS: prosedur kawalan risiko halal bertulis didokumenkan berasingan daripada sistem lain (HACCP, GMP, MeSTI, VHM). Titik kawalan halal (HCP) dikenal pasti berdasarkan carta alir dan pelan lantai, dan meliputi R&amp;D, produk, pemprosesan, premis dan peralatan, pekerja, pembungkusan, penyimpanan serta pengangkutan.</t>
        </is>
      </c>
      <c r="C49" s="7" t="inlineStr">
        <is>
          <t>MHMS 5(6) (Kawalan Risiko Halal)</t>
        </is>
      </c>
      <c r="D49" s="7" t="inlineStr"/>
      <c r="E49" s="7" t="inlineStr"/>
      <c r="F49" t="inlineStr">
        <is>
          <t>B</t>
        </is>
      </c>
    </row>
    <row r="50">
      <c r="A50" s="7" t="inlineStr">
        <is>
          <t>B17</t>
        </is>
      </c>
      <c r="B50" s="7" t="inlineStr">
        <is>
          <t>HAS: bagi setiap HCP, pelan kawalan risiko halal menyatakan risiko halal, kaedah kawalan, kekerapan, PIC, tindakan pembetulan dan rekod, dan rekod pemantauan HCP lengkap.</t>
        </is>
      </c>
      <c r="C50" s="7" t="inlineStr">
        <is>
          <t>MHMS 5(6) (Kawalan Risiko Halal)</t>
        </is>
      </c>
      <c r="D50" s="7" t="inlineStr"/>
      <c r="E50" s="7" t="inlineStr"/>
      <c r="F50" t="inlineStr">
        <is>
          <t>B</t>
        </is>
      </c>
    </row>
    <row r="51">
      <c r="A51" s="7" t="inlineStr">
        <is>
          <t>B18</t>
        </is>
      </c>
      <c r="B51" s="7" t="inlineStr">
        <is>
          <t>HAS: audit halal dalaman dibuat sekurang-kurangnya sekali setahun bagi setiap cawangan, dan meliputi semakan dokumen serta pemeriksaan lapangan terhadap keseluruhan keperluan Pensijilan Halal Malaysia.</t>
        </is>
      </c>
      <c r="C51" s="7" t="inlineStr">
        <is>
          <t>MHMS 5(5) (Audit Halal Dalaman)</t>
        </is>
      </c>
      <c r="D51" s="7" t="inlineStr"/>
      <c r="E51" s="7" t="inlineStr"/>
      <c r="F51" t="inlineStr">
        <is>
          <t>B</t>
        </is>
      </c>
    </row>
    <row r="52">
      <c r="A52" s="7" t="inlineStr">
        <is>
          <t>B19</t>
        </is>
      </c>
      <c r="B52" s="7" t="inlineStr">
        <is>
          <t>HAS: juruaudit dalaman dilantik oleh JKHD dan terdiri daripada wakil jabatan yang berbeza. Setiap juruaudit, termasuk juruaudit pihak ketiga, memegang Sijil Audit Halal Dalaman atau Sijil Eksekutif Halal daripada penyedia latihan yang berdaftar di bawah HPB.</t>
        </is>
      </c>
      <c r="C52" s="7" t="inlineStr">
        <is>
          <t>MHMS 5(5) (Audit Halal Dalaman)</t>
        </is>
      </c>
      <c r="D52" s="7" t="inlineStr"/>
      <c r="E52" s="7" t="inlineStr"/>
      <c r="F52" t="inlineStr">
        <is>
          <t>B</t>
        </is>
      </c>
    </row>
    <row r="53">
      <c r="A53" s="7" t="inlineStr">
        <is>
          <t>B20</t>
        </is>
      </c>
      <c r="B53" s="7" t="inlineStr">
        <is>
          <t>HAS: laporan dan senarai semak audit dalaman dibentangkan kepada JKHD, ketidakakuran ditutup dalam tempoh 14 hari atau tempoh yang dipersetujui, dan audit pembekal dibuat apabila perlu.</t>
        </is>
      </c>
      <c r="C53" s="7" t="inlineStr">
        <is>
          <t>MHMS 5(5) (Audit Halal Dalaman), Lampiran D</t>
        </is>
      </c>
      <c r="D53" s="7" t="inlineStr"/>
      <c r="E53" s="7" t="inlineStr"/>
      <c r="F53" t="inlineStr">
        <is>
          <t>B</t>
        </is>
      </c>
    </row>
    <row r="54">
      <c r="A54" s="7" t="inlineStr">
        <is>
          <t>B21</t>
        </is>
      </c>
      <c r="B54" s="7" t="inlineStr">
        <is>
          <t>HAS: semakan HAS dibuat sekurang-kurangnya sekali setahun oleh JKHD bersama pengurusan atasan untuk menilai keberkesanan HAS dan keupayaan ahli JKHD, dan keputusannya diluluskan secara bertulis oleh pengurusan atasan.</t>
        </is>
      </c>
      <c r="C54" s="7" t="inlineStr">
        <is>
          <t>MHMS 5(10) (Semakan HAS)</t>
        </is>
      </c>
      <c r="D54" s="7" t="inlineStr"/>
      <c r="E54" s="7" t="inlineStr"/>
      <c r="F54" t="inlineStr">
        <is>
          <t>B</t>
        </is>
      </c>
    </row>
    <row r="55">
      <c r="A55" s="7" t="inlineStr">
        <is>
          <t>B22</t>
        </is>
      </c>
      <c r="B55" s="7" t="inlineStr">
        <is>
          <t>HAS: prosedur semakan HAS bertulis tersedia, dan rekod semakan disimpan untuk rujukan semasa audit pensijilan.</t>
        </is>
      </c>
      <c r="C55" s="7" t="inlineStr">
        <is>
          <t>MHMS 5(10) (Semakan HAS)</t>
        </is>
      </c>
      <c r="D55" s="7" t="inlineStr"/>
      <c r="E55" s="7" t="inlineStr"/>
      <c r="F55" t="inlineStr">
        <is>
          <t>B</t>
        </is>
      </c>
    </row>
    <row r="56">
      <c r="A56" s="7" t="inlineStr">
        <is>
          <t>B23</t>
        </is>
      </c>
      <c r="B56" s="7" t="inlineStr">
        <is>
          <t>HAS: prosedur sertu bertulis disediakan mengikut Garis Panduan Sertu Menurut Perspektif Islam (JAKIM) dan ketetapan MAIN/JAIN, iaitu basuhan 7 kali dengan satu kali air bercampur tanah (sebaiknya pada basuhan pertama).</t>
        </is>
      </c>
      <c r="C56" s="7" t="inlineStr">
        <is>
          <t>MHMS 5(12) (Sertu); MS 1500 Lampiran A*</t>
        </is>
      </c>
      <c r="D56" s="7" t="inlineStr"/>
      <c r="E56" s="7" t="inlineStr"/>
      <c r="F56" t="inlineStr">
        <is>
          <t>B</t>
        </is>
      </c>
    </row>
    <row r="57">
      <c r="A57" s="7" t="inlineStr">
        <is>
          <t>B24</t>
        </is>
      </c>
      <c r="B57" s="7" t="inlineStr">
        <is>
          <t>Rekod pemantauan berkala (cth. senarai semak harian atau mingguan) oleh Eksekutif Halal (besar/sederhana), Penyelia Halal (kecil) atau pemilik atau pekerja yang dipertanggungjawabkan terhadap halal (mikro) menunjukkan kawalan halal dipantau secara berterusan di antara audit.</t>
        </is>
      </c>
      <c r="C57" s="7" t="inlineStr">
        <is>
          <t>MPPHM 17(13)(b)</t>
        </is>
      </c>
      <c r="D57" s="7" t="inlineStr"/>
      <c r="E57" s="7" t="inlineStr"/>
      <c r="F57" t="inlineStr">
        <is>
          <t>B</t>
        </is>
      </c>
    </row>
    <row r="58">
      <c r="A58" s="7" t="inlineStr">
        <is>
          <t>B25</t>
        </is>
      </c>
      <c r="B58" s="7" t="inlineStr">
        <is>
          <t>Salinan Manual MHMS 2020, MS yang berkaitan, fatwa, prosedur dan pekeliling halal terkini disimpan, dan perubahan yang dikehendaki telah dilaksanakan.</t>
        </is>
      </c>
      <c r="C58" s="7" t="inlineStr">
        <is>
          <t>MPPHM 17(16)(b); Perintah Perakuan &amp; Penandaan Halal 2011 perenggan 7</t>
        </is>
      </c>
      <c r="D58" s="7" t="inlineStr"/>
      <c r="E58" s="7" t="inlineStr"/>
      <c r="F58" t="inlineStr">
        <is>
          <t>B</t>
        </is>
      </c>
    </row>
    <row r="59">
      <c r="A59" s="7" t="inlineStr">
        <is>
          <t>B26</t>
        </is>
      </c>
      <c r="B59" s="7" t="inlineStr">
        <is>
          <t>Program jaminan keselamatan makanan yang didokumenkan (cth. MeSTI, GMP atau HACCP) disediakan dan tersedia di premis pengilangan.</t>
        </is>
      </c>
      <c r="C59" s="7" t="inlineStr">
        <is>
          <t>PKM per. 9(1), Jadual Ketiga</t>
        </is>
      </c>
      <c r="D59" s="7" t="inlineStr"/>
      <c r="E59" s="7" t="inlineStr"/>
      <c r="F59" t="inlineStr">
        <is>
          <t>B</t>
        </is>
      </c>
    </row>
    <row r="60">
      <c r="A60" s="7" t="inlineStr">
        <is>
          <t>B27</t>
        </is>
      </c>
      <c r="B60" s="7" t="inlineStr">
        <is>
          <t>Amalan pengilangan yang baik (GMP) dilaksanakan mengikut MS 1514:2022. Nilai pelaksanaannya menggunakan bahagian MS 1514 yang dilampirkan berasingan.</t>
        </is>
      </c>
      <c r="C60" s="7" t="inlineStr">
        <is>
          <t>MPPHM 17(3)(e), 17(8)(i); MS 1514:2022</t>
        </is>
      </c>
      <c r="D60" s="7" t="inlineStr"/>
      <c r="E60" s="7" t="inlineStr"/>
      <c r="F60" t="inlineStr">
        <is>
          <t>B</t>
        </is>
      </c>
    </row>
    <row r="61">
      <c r="A61" s="7" t="inlineStr">
        <is>
          <t>B28</t>
        </is>
      </c>
      <c r="B61" s="7" t="inlineStr">
        <is>
          <t>Sistem HACCP mengikut MS 1480:2025 dilaksanakan, jika ada atau jika diwajibkan. Nilai pelaksanaannya menggunakan bahagian MS 1480 yang dilampirkan berasingan.</t>
        </is>
      </c>
      <c r="C61" s="7" t="inlineStr">
        <is>
          <t>MS 1500 kl. 4.4*; MS 1480:2025</t>
        </is>
      </c>
      <c r="D61" s="7" t="inlineStr"/>
      <c r="E61" s="7" t="inlineStr"/>
      <c r="F61" t="inlineStr">
        <is>
          <t>B</t>
        </is>
      </c>
    </row>
    <row r="62">
      <c r="A62" s="4" t="inlineStr">
        <is>
          <t>Bahagian C: Premis, Struktur &amp; Persekitaran</t>
        </is>
      </c>
      <c r="B62" s="5" t="n"/>
      <c r="C62" s="5" t="n"/>
      <c r="D62" s="5" t="n"/>
      <c r="E62" s="6" t="n"/>
    </row>
    <row r="63" ht="26" customHeight="1">
      <c r="A63" s="2" t="inlineStr">
        <is>
          <t>Dengan merujuk pelan lantai, berjalan dari sempadan dan persekitaran luar premis ke kawasan pemprosesan, kemudian ke pejabat, pantri dan tempat tinggal pekerja (jika ada).</t>
        </is>
      </c>
    </row>
    <row r="64">
      <c r="A64" s="7" t="inlineStr">
        <is>
          <t>C1</t>
        </is>
      </c>
      <c r="B64" s="7" t="inlineStr">
        <is>
          <t>Lokasi premis jauh daripada sumber pencemaran seperti kolam pengudaraan, tangki septik dan tapak pelupusan sampah.</t>
        </is>
      </c>
      <c r="C64" s="7" t="inlineStr">
        <is>
          <t>PKM per. 12</t>
        </is>
      </c>
      <c r="D64" s="7" t="inlineStr"/>
      <c r="E64" s="7" t="inlineStr"/>
      <c r="F64" t="inlineStr">
        <is>
          <t>C</t>
        </is>
      </c>
    </row>
    <row r="65">
      <c r="A65" s="7" t="inlineStr">
        <is>
          <t>C2</t>
        </is>
      </c>
      <c r="B65" s="7" t="inlineStr">
        <is>
          <t>Sistem kawalan yang berkesan mencegah pencemaran daripada premis bersebelahan yang memproses produk tidak halal, ladang ternakan dan loji kumbahan. Ini termasuk kemudahan yang dikongsi, seperti laluan, ruang muat turun, longkang dan tong sisa.</t>
        </is>
      </c>
      <c r="C65" s="7" t="inlineStr">
        <is>
          <t>MPPHM 17(8)(b); MS 1500 kl. 4.2*</t>
        </is>
      </c>
      <c r="D65" s="7" t="inlineStr"/>
      <c r="E65" s="7" t="inlineStr"/>
      <c r="F65" t="inlineStr">
        <is>
          <t>C</t>
        </is>
      </c>
    </row>
    <row r="66">
      <c r="A66" s="7" t="inlineStr">
        <is>
          <t>C3</t>
        </is>
      </c>
      <c r="B66" s="7" t="inlineStr">
        <is>
          <t>Premis berpagar atau mempunyai mekanisme kawalan untuk mencegah kemasukan haiwan peliharaan atau liar, serangga dan perosak. Tiada anjing (termasuk anjing pengawal) dipelihara atau berkeliaran dalam kawasan premis, dan notis larangan membawa haiwan dipamerkan di pintu masuk.</t>
        </is>
      </c>
      <c r="C66" s="7" t="inlineStr">
        <is>
          <t>MPPHM 17(8)(c); PKM per. 8(1)(c); MS 1500 kl. 4.2*</t>
        </is>
      </c>
      <c r="D66" s="7" t="inlineStr"/>
      <c r="E66" s="7" t="inlineStr"/>
      <c r="F66" t="inlineStr">
        <is>
          <t>C</t>
        </is>
      </c>
    </row>
    <row r="67">
      <c r="A67" s="7" t="inlineStr">
        <is>
          <t>C4</t>
        </is>
      </c>
      <c r="B67" s="7" t="inlineStr">
        <is>
          <t>Persekitaran luar premis bersih dan bebas daripada faktor yang boleh mencemarkan premis.</t>
        </is>
      </c>
      <c r="C67" s="7" t="inlineStr">
        <is>
          <t>MPPHM 17(10)(b)</t>
        </is>
      </c>
      <c r="D67" s="7" t="inlineStr"/>
      <c r="E67" s="7" t="inlineStr"/>
      <c r="F67" t="inlineStr">
        <is>
          <t>C</t>
        </is>
      </c>
    </row>
    <row r="68">
      <c r="A68" s="7" t="inlineStr">
        <is>
          <t>C5</t>
        </is>
      </c>
      <c r="B68" s="7" t="inlineStr">
        <is>
          <t>Pelan susun atur terkini tersedia dan sepadan dengan keadaan sebenar. Reka bentuk premis serta aliran bahan, produk dan pekerja mencegah pencemaran silang dan memudahkan pembersihan serta penyahkuman.</t>
        </is>
      </c>
      <c r="C68" s="7" t="inlineStr">
        <is>
          <t>MPPHM 17(8)(j); PKM per. 13</t>
        </is>
      </c>
      <c r="D68" s="7" t="inlineStr"/>
      <c r="E68" s="7" t="inlineStr"/>
      <c r="F68" t="inlineStr">
        <is>
          <t>C</t>
        </is>
      </c>
    </row>
    <row r="69">
      <c r="A69" s="7" t="inlineStr">
        <is>
          <t>C6</t>
        </is>
      </c>
      <c r="B69" s="7" t="inlineStr">
        <is>
          <t>Premis dalam keadaan baik, bersih dan kemas, bebas daripada sampah, kotoran, jelaga, abu dan sawang, tanpa longgokan kotak, tin, botol kosong atau barang yang tidak berkaitan.</t>
        </is>
      </c>
      <c r="C69" s="7" t="inlineStr">
        <is>
          <t>MPPHM 17(8)(d); PKM per. 15(1), 15(2), 34(1)</t>
        </is>
      </c>
      <c r="D69" s="7" t="inlineStr"/>
      <c r="E69" s="7" t="inlineStr"/>
      <c r="F69" t="inlineStr">
        <is>
          <t>C</t>
        </is>
      </c>
    </row>
    <row r="70">
      <c r="A70" s="7" t="inlineStr">
        <is>
          <t>C7</t>
        </is>
      </c>
      <c r="B70" s="7" t="inlineStr">
        <is>
          <t>Lantai diperbuat daripada bahan yang kalis air, tidak menyerap, boleh dibasuh dan tidak toksik, dalam keadaan baik dan bersaliran baik.</t>
        </is>
      </c>
      <c r="C70" s="7" t="inlineStr">
        <is>
          <t>PKM per. 18; MPPHM 17(8)(e)</t>
        </is>
      </c>
      <c r="D70" s="7" t="inlineStr"/>
      <c r="E70" s="7" t="inlineStr"/>
      <c r="F70" t="inlineStr">
        <is>
          <t>C</t>
        </is>
      </c>
    </row>
    <row r="71">
      <c r="A71" s="7" t="inlineStr">
        <is>
          <t>C8</t>
        </is>
      </c>
      <c r="B71" s="7" t="inlineStr">
        <is>
          <t>Dinding licin, kalis air, tidak menyerap dan boleh dibasuh hingga ketinggian yang sesuai. Sudut antara dinding dan lantai dikedap dan dilengkungkan.</t>
        </is>
      </c>
      <c r="C71" s="7" t="inlineStr">
        <is>
          <t>PKM per. 19(1), 19(2); MPPHM 17(8)(e)</t>
        </is>
      </c>
      <c r="D71" s="7" t="inlineStr"/>
      <c r="E71" s="7" t="inlineStr"/>
      <c r="F71" t="inlineStr">
        <is>
          <t>C</t>
        </is>
      </c>
    </row>
    <row r="72">
      <c r="A72" s="7" t="inlineStr">
        <is>
          <t>C9</t>
        </is>
      </c>
      <c r="B72" s="7" t="inlineStr">
        <is>
          <t>Siling dan permukaan dalam bumbung tidak mengumpul kotoran atau menggugurkan partikel, dan mengurangkan pemeluwapan serta pertumbuhan kulat.</t>
        </is>
      </c>
      <c r="C72" s="7" t="inlineStr">
        <is>
          <t>PKM per. 22; MPPHM 17(8)(e)</t>
        </is>
      </c>
      <c r="D72" s="7" t="inlineStr"/>
      <c r="E72" s="7" t="inlineStr"/>
      <c r="F72" t="inlineStr">
        <is>
          <t>C</t>
        </is>
      </c>
    </row>
    <row r="73">
      <c r="A73" s="7" t="inlineStr">
        <is>
          <t>C10</t>
        </is>
      </c>
      <c r="B73" s="7" t="inlineStr">
        <is>
          <t>Pintu mudah dibersihkan, licin, tidak menyerap dan tertutup sendiri. Tingkap dan bukaan bersih, dalam keadaan baik dan dilindungi (cth. dengan jaring) daripada kemasukan perosak.</t>
        </is>
      </c>
      <c r="C73" s="7" t="inlineStr">
        <is>
          <t>PKM per. 23; MPPHM 17(8)(c), 17(8)(e)</t>
        </is>
      </c>
      <c r="D73" s="7" t="inlineStr"/>
      <c r="E73" s="7" t="inlineStr"/>
      <c r="F73" t="inlineStr">
        <is>
          <t>C</t>
        </is>
      </c>
    </row>
    <row r="74">
      <c r="A74" s="7" t="inlineStr">
        <is>
          <t>C11</t>
        </is>
      </c>
      <c r="B74" s="7" t="inlineStr">
        <is>
          <t>Pencahayaan mencukupi dan tidak menyebabkan pencemaran makanan. Lampu di kawasan pemprosesan bersih, berfungsi dan bertutup.</t>
        </is>
      </c>
      <c r="C74" s="7" t="inlineStr">
        <is>
          <t>PKM per. 20; MPPHM 17(8)(g), 17(8)(h)</t>
        </is>
      </c>
      <c r="D74" s="7" t="inlineStr"/>
      <c r="E74" s="7" t="inlineStr"/>
      <c r="F74" t="inlineStr">
        <is>
          <t>C</t>
        </is>
      </c>
    </row>
    <row r="75">
      <c r="A75" s="7" t="inlineStr">
        <is>
          <t>C12</t>
        </is>
      </c>
      <c r="B75" s="7" t="inlineStr">
        <is>
          <t>Pengudaraan mencukupi dan penapisnya mudah dicapai untuk dibersihkan atau diganti. Aliran udara mekanikal tidak mengalir dari kawasan tercemar ke kawasan bersih, dan kipas serta penghawa dingin bersih.</t>
        </is>
      </c>
      <c r="C75" s="7" t="inlineStr">
        <is>
          <t>PKM per. 21(1), 21(2); MPPHM 17(8)(e), 17(8)(g)</t>
        </is>
      </c>
      <c r="D75" s="7" t="inlineStr"/>
      <c r="E75" s="7" t="inlineStr"/>
      <c r="F75" t="inlineStr">
        <is>
          <t>C</t>
        </is>
      </c>
    </row>
    <row r="76">
      <c r="A76" s="7" t="inlineStr">
        <is>
          <t>C13</t>
        </is>
      </c>
      <c r="B76" s="7" t="inlineStr">
        <is>
          <t>Perabot, lekapan dan permukaan kerja diselenggara dengan baik dan bersih. Yang berada di kawasan pemprosesan diperbuat daripada bahan tidak telap yang mudah dibersihkan.</t>
        </is>
      </c>
      <c r="C76" s="7" t="inlineStr">
        <is>
          <t>PKM per. 24(1), 24(2)</t>
        </is>
      </c>
      <c r="D76" s="7" t="inlineStr"/>
      <c r="E76" s="7" t="inlineStr"/>
      <c r="F76" t="inlineStr">
        <is>
          <t>C</t>
        </is>
      </c>
    </row>
    <row r="77">
      <c r="A77" s="7" t="inlineStr">
        <is>
          <t>C14</t>
        </is>
      </c>
      <c r="B77" s="7" t="inlineStr">
        <is>
          <t>Palet atau alas yang sesuai digunakan di kawasan pemprosesan supaya bahan dan produk tidak diletakkan terus di atas lantai.</t>
        </is>
      </c>
      <c r="C77" s="7" t="inlineStr">
        <is>
          <t>MPPHM 17(8)(f)</t>
        </is>
      </c>
      <c r="D77" s="7" t="inlineStr"/>
      <c r="E77" s="7" t="inlineStr"/>
      <c r="F77" t="inlineStr">
        <is>
          <t>C</t>
        </is>
      </c>
    </row>
    <row r="78">
      <c r="A78" s="7" t="inlineStr">
        <is>
          <t>C15</t>
        </is>
      </c>
      <c r="B78" s="7" t="inlineStr">
        <is>
          <t>Sistem saliran dan perparitan mencukupi, bersih, diselenggara dan dipasang perangkap sisa. Air buangan tidak mengalir dari kawasan tercemar ke kawasan bersih.</t>
        </is>
      </c>
      <c r="C78" s="7" t="inlineStr">
        <is>
          <t>PKM per. 29(1), 29(2), 29(3); MPPHM 17(8)(l)</t>
        </is>
      </c>
      <c r="D78" s="7" t="inlineStr"/>
      <c r="E78" s="7" t="inlineStr"/>
      <c r="F78" t="inlineStr">
        <is>
          <t>C</t>
        </is>
      </c>
    </row>
    <row r="79">
      <c r="A79" s="7" t="inlineStr">
        <is>
          <t>C16</t>
        </is>
      </c>
      <c r="B79" s="7" t="inlineStr">
        <is>
          <t>Tiada alat atau unsur penyembahan (cth. tokong, colok, patung) di kawasan pemprosesan.</t>
        </is>
      </c>
      <c r="C79" s="7" t="inlineStr">
        <is>
          <t>MPPHM 17(15)</t>
        </is>
      </c>
      <c r="D79" s="7" t="inlineStr"/>
      <c r="E79" s="7" t="inlineStr"/>
      <c r="F79" t="inlineStr">
        <is>
          <t>C</t>
        </is>
      </c>
    </row>
    <row r="80">
      <c r="A80" s="7" t="inlineStr">
        <is>
          <t>C17</t>
        </is>
      </c>
      <c r="B80" s="7" t="inlineStr">
        <is>
          <t>Pejabat, pantri dan tempat tinggal pekerja dalam kawasan premis bebas daripada bahan mentah dan produk tidak halal (cth. daging babi, arak).</t>
        </is>
      </c>
      <c r="C80" s="7" t="inlineStr">
        <is>
          <t>MPPHM 17(8)(a); MS 1500 kl. 4.2*</t>
        </is>
      </c>
      <c r="D80" s="7" t="inlineStr"/>
      <c r="E80" s="7" t="inlineStr"/>
      <c r="F80" t="inlineStr">
        <is>
          <t>C</t>
        </is>
      </c>
    </row>
    <row r="81">
      <c r="A81" s="7" t="inlineStr">
        <is>
          <t>C18</t>
        </is>
      </c>
      <c r="B81" s="7" t="inlineStr">
        <is>
          <t>Tempat tinggal pekerja tidak berada dalam kawasan premis. Jika perlu juga, ia berada di bangunan yang berasingan daripada kawasan pemprosesan. Jika di bangunan yang sama, ia mempunyai laluan masuk berasingan, tiada laluan terus ke kawasan pemprosesan, dan ada mekanisme kawalan keluar masuk pekerja yang berkesan.</t>
        </is>
      </c>
      <c r="C81" s="7" t="inlineStr">
        <is>
          <t>MPPHM 17(8)(k)</t>
        </is>
      </c>
      <c r="D81" s="7" t="inlineStr"/>
      <c r="E81" s="7" t="inlineStr"/>
      <c r="F81" t="inlineStr">
        <is>
          <t>C</t>
        </is>
      </c>
    </row>
    <row r="82">
      <c r="A82" s="7" t="inlineStr">
        <is>
          <t>C19</t>
        </is>
      </c>
      <c r="B82" s="7" t="inlineStr">
        <is>
          <t>Premis yang tercemar najis mughallazah (cth. premis sewaan, atau premis yang diambil alih daripada pengusaha produk tidak halal) telah disertu sebelum operasi halal dimulakan, dan rekod sertu disimpan.</t>
        </is>
      </c>
      <c r="C82" s="7" t="inlineStr">
        <is>
          <t>MPPHM 17(8)(n); MS 1500 Lampiran A*</t>
        </is>
      </c>
      <c r="D82" s="7" t="inlineStr"/>
      <c r="E82" s="7" t="inlineStr"/>
      <c r="F82" t="inlineStr">
        <is>
          <t>C</t>
        </is>
      </c>
    </row>
    <row r="83">
      <c r="A83" s="4" t="inlineStr">
        <is>
          <t>Bahagian D: Air, Ais &amp; Wap</t>
        </is>
      </c>
      <c r="B83" s="5" t="n"/>
      <c r="C83" s="5" t="n"/>
      <c r="D83" s="5" t="n"/>
      <c r="E83" s="6" t="n"/>
    </row>
    <row r="84" ht="26" customHeight="1">
      <c r="A84" s="2" t="inlineStr">
        <is>
          <t>Kenal pasti semua sumber air, ais dan wap yang digunakan sebagai ramuan atau yang bersentuhan dengan produk dan permukaan sentuhan makanan, kemudian semak laporan ujian serta rekod penyelenggaraannya.</t>
        </is>
      </c>
    </row>
    <row r="85">
      <c r="A85" s="7" t="inlineStr">
        <is>
          <t>D1</t>
        </is>
      </c>
      <c r="B85" s="7" t="inlineStr">
        <is>
          <t>Bekalan air terawat (boleh diminum) mencukupi untuk ramuan, pembersihan dan sertu. Tangki dan sistem pengagihannya terlindung daripada pencemaran dan dibersihkan secara berkala.</t>
        </is>
      </c>
      <c r="C85" s="7" t="inlineStr">
        <is>
          <t>PKM per. 14(1), 14(2); MS 2320 kl. 4*</t>
        </is>
      </c>
      <c r="D85" s="7" t="inlineStr"/>
      <c r="E85" s="7" t="inlineStr"/>
      <c r="F85" t="inlineStr">
        <is>
          <t>D</t>
        </is>
      </c>
    </row>
    <row r="86">
      <c r="A86" s="7" t="inlineStr">
        <is>
          <t>D2</t>
        </is>
      </c>
      <c r="B86" s="7" t="inlineStr">
        <is>
          <t>Bagi sumber air yang bukan daripada pembekal air awam (cth. telaga, telaga tiub, air bukit atau air yang dirawat sendiri), laporan analisis kualiti air yang terkini tersedia.</t>
        </is>
      </c>
      <c r="C86" s="7" t="inlineStr">
        <is>
          <t>MPPHM 17(1)(j)</t>
        </is>
      </c>
      <c r="D86" s="7" t="inlineStr"/>
      <c r="E86" s="7" t="inlineStr"/>
      <c r="F86" t="inlineStr">
        <is>
          <t>D</t>
        </is>
      </c>
    </row>
    <row r="87">
      <c r="A87" s="7" t="inlineStr">
        <is>
          <t>D3</t>
        </is>
      </c>
      <c r="B87" s="7" t="inlineStr">
        <is>
          <t>Bagi air mentah daripada sumber sendiri (cth. telaga atau sungai) yang dirawat di premis, kualiti air mentah dipantau mengikut kriteria dan kekerapan dalam MS 2320 (Jadual 1), dengan rekod.</t>
        </is>
      </c>
      <c r="C87" s="7" t="inlineStr">
        <is>
          <t>MS 2320 Jadual 1*; MPPHM 17(1)(j)</t>
        </is>
      </c>
      <c r="D87" s="7" t="inlineStr"/>
      <c r="E87" s="7" t="inlineStr"/>
      <c r="F87" t="inlineStr">
        <is>
          <t>D</t>
        </is>
      </c>
    </row>
    <row r="88">
      <c r="A88" s="7" t="inlineStr">
        <is>
          <t>D4</t>
        </is>
      </c>
      <c r="B88" s="7" t="inlineStr">
        <is>
          <t>Analisis air daripada sumber sendiri meliputi parameter kualiti air minuman dan kekerapan pemantauan dalam MS 2320 (Jadual 2), dan keputusannya mematuhi had yang ditetapkan.</t>
        </is>
      </c>
      <c r="C88" s="7" t="inlineStr">
        <is>
          <t>MS 2320 kl. 4*, Jadual 2*</t>
        </is>
      </c>
      <c r="D88" s="7" t="inlineStr"/>
      <c r="E88" s="7" t="inlineStr"/>
      <c r="F88" t="inlineStr">
        <is>
          <t>D</t>
        </is>
      </c>
    </row>
    <row r="89">
      <c r="A89" s="7" t="inlineStr">
        <is>
          <t>D5</t>
        </is>
      </c>
      <c r="B89" s="7" t="inlineStr">
        <is>
          <t>Bagi sistem air sendiri, pelan persampelan (titik persampelan, kekerapan dan makmal) disediakan mengikut prosedur umum MS 2320.</t>
        </is>
      </c>
      <c r="C89" s="7" t="inlineStr">
        <is>
          <t>MS 2320 kl. 5*</t>
        </is>
      </c>
      <c r="D89" s="7" t="inlineStr"/>
      <c r="E89" s="7" t="inlineStr"/>
      <c r="F89" t="inlineStr">
        <is>
          <t>D</t>
        </is>
      </c>
    </row>
    <row r="90">
      <c r="A90" s="7" t="inlineStr">
        <is>
          <t>D6</t>
        </is>
      </c>
      <c r="B90" s="7" t="inlineStr">
        <is>
          <t>Status halal bahan dan media rawatan air (cth. karbon teraktif, resin penukar ion, penapis) disahkan, dan karbon teraktif tidak dihasilkan daripada tulang haiwan yang tidak halal.</t>
        </is>
      </c>
      <c r="C90" s="7" t="inlineStr">
        <is>
          <t>MPPHM 17(5)(c); MS 1500 kl. 4.3*</t>
        </is>
      </c>
      <c r="D90" s="7" t="inlineStr"/>
      <c r="E90" s="7" t="inlineStr"/>
      <c r="F90" t="inlineStr">
        <is>
          <t>D</t>
        </is>
      </c>
    </row>
    <row r="91">
      <c r="A91" s="7" t="inlineStr">
        <is>
          <t>D7</t>
        </is>
      </c>
      <c r="B91" s="7" t="inlineStr">
        <is>
          <t>Ais yang bersentuhan dengan makanan atau permukaan sentuhan makanan dibuat daripada air terawat, dan dihasilkan, dikendalikan, disimpan serta diangkut tanpa pencemaran.</t>
        </is>
      </c>
      <c r="C91" s="7" t="inlineStr">
        <is>
          <t>PKM per. 35(1)(j)</t>
        </is>
      </c>
      <c r="D91" s="7" t="inlineStr"/>
      <c r="E91" s="7" t="inlineStr"/>
      <c r="F91" t="inlineStr">
        <is>
          <t>D</t>
        </is>
      </c>
    </row>
    <row r="92">
      <c r="A92" s="7" t="inlineStr">
        <is>
          <t>D8</t>
        </is>
      </c>
      <c r="B92" s="7" t="inlineStr">
        <is>
          <t>Ais, sama ada dibeli atau dihasilkan sendiri, memenuhi had toleransi bakteria dalam MS 1783 (Jadual 1), dan ini dibuktikan melalui laporan ujian berkala. Ais yang dibeli datang daripada pengeluar ais yang berdaftar dengan KKM.</t>
        </is>
      </c>
      <c r="C92" s="7" t="inlineStr">
        <is>
          <t>MS 1783 kl. 3*, Jadual 1*; PKM per. 3</t>
        </is>
      </c>
      <c r="D92" s="7" t="inlineStr"/>
      <c r="E92" s="7" t="inlineStr"/>
      <c r="F92" t="inlineStr">
        <is>
          <t>D</t>
        </is>
      </c>
    </row>
    <row r="93">
      <c r="A93" s="7" t="inlineStr">
        <is>
          <t>D9</t>
        </is>
      </c>
      <c r="B93" s="7" t="inlineStr">
        <is>
          <t>Ais berbungkus yang dibeli atau dihasilkan sendiri dibungkus dalam bungkusan yang bersih, utuh dan sesuai untuk makanan, dan pembekalnya dapat dikenal pasti.</t>
        </is>
      </c>
      <c r="C93" s="7" t="inlineStr">
        <is>
          <t>MS 1783 kl. 5*</t>
        </is>
      </c>
      <c r="D93" s="7" t="inlineStr"/>
      <c r="E93" s="7" t="inlineStr"/>
      <c r="F93" t="inlineStr">
        <is>
          <t>D</t>
        </is>
      </c>
    </row>
    <row r="94">
      <c r="A94" s="7" t="inlineStr">
        <is>
          <t>D10</t>
        </is>
      </c>
      <c r="B94" s="7" t="inlineStr">
        <is>
          <t>Ais diangkut dan disimpan dalam kenderaan atau bekas yang bersih, bertebat dan bertutup (atau dalam bungkusan), dan tidak diletakkan di atas lantai, jalan atau platform. Peralatan ais dijaga bersih.</t>
        </is>
      </c>
      <c r="C94" s="7" t="inlineStr">
        <is>
          <t>PKM per. 52(1); MS 1783 kl. 4*, kl. 5*</t>
        </is>
      </c>
      <c r="D94" s="7" t="inlineStr"/>
      <c r="E94" s="7" t="inlineStr"/>
      <c r="F94" t="inlineStr">
        <is>
          <t>D</t>
        </is>
      </c>
    </row>
    <row r="95">
      <c r="A95" s="7" t="inlineStr">
        <is>
          <t>D11</t>
        </is>
      </c>
      <c r="B95" s="7" t="inlineStr">
        <is>
          <t>Ais dikendalikan dengan penyodok atau alat khusus yang bersih, tanpa sentuhan tangan.</t>
        </is>
      </c>
      <c r="C95" s="7" t="inlineStr">
        <is>
          <t>MS 1783 kl. 6*; PKM per. 36(1)(e)</t>
        </is>
      </c>
      <c r="D95" s="7" t="inlineStr"/>
      <c r="E95" s="7" t="inlineStr"/>
      <c r="F95" t="inlineStr">
        <is>
          <t>D</t>
        </is>
      </c>
    </row>
    <row r="96">
      <c r="A96" s="7" t="inlineStr">
        <is>
          <t>D12</t>
        </is>
      </c>
      <c r="B96" s="7" t="inlineStr">
        <is>
          <t>Wap yang bersentuhan terus dengan makanan atau permukaan sentuhan makanan tidak mengandungi bahan berbahaya. Bahan kimia rawatan dandang bagi wap sentuhan langsung adalah gred makanan, dan status halalnya disahkan.</t>
        </is>
      </c>
      <c r="C96" s="7" t="inlineStr">
        <is>
          <t>PKM per. 35(1)(k); MS 1500 kl. 4.3*</t>
        </is>
      </c>
      <c r="D96" s="7" t="inlineStr"/>
      <c r="E96" s="7" t="inlineStr"/>
      <c r="F96" t="inlineStr">
        <is>
          <t>D</t>
        </is>
      </c>
    </row>
    <row r="97">
      <c r="A97" s="4" t="inlineStr">
        <is>
          <t>Bahagian E: Bahan Mentah, Bahan Kritikal &amp; Pembekal</t>
        </is>
      </c>
      <c r="B97" s="5" t="n"/>
      <c r="C97" s="5" t="n"/>
      <c r="D97" s="5" t="n"/>
      <c r="E97" s="6" t="n"/>
    </row>
    <row r="98" ht="26" customHeight="1">
      <c r="A98" s="2" t="inlineStr">
        <is>
          <t>Semak Senarai Utama Bahan Mentah, sijil halal dan dokumen pembekal di pejabat, kemudian padankan dengan bahan sebenar di kawasan penerimaan, stor, bilik timbang dan barisan pengeluaran.</t>
        </is>
      </c>
    </row>
    <row r="99">
      <c r="A99" s="7" t="inlineStr">
        <is>
          <t>E1</t>
        </is>
      </c>
      <c r="B99" s="7" t="inlineStr">
        <is>
          <t>Prosedur kawalan bahan mentah bertulis meliputi pembelian, penerimaan dan penyimpanan bahan, dan rekodnya mudah dirujuk.</t>
        </is>
      </c>
      <c r="C99" s="7" t="inlineStr">
        <is>
          <t>MHMS 5(7) (Kawalan Bahan Mentah), 6, 7(1)</t>
        </is>
      </c>
      <c r="D99" s="7" t="inlineStr"/>
      <c r="E99" s="7" t="inlineStr"/>
      <c r="F99" t="inlineStr">
        <is>
          <t>E</t>
        </is>
      </c>
    </row>
    <row r="100">
      <c r="A100" s="7" t="inlineStr">
        <is>
          <t>E2</t>
        </is>
      </c>
      <c r="B100" s="7" t="inlineStr">
        <is>
          <t>Senarai Utama Bahan Mentah lengkap dan terkini bagi semua bahan, termasuk bahan bantu pemprosesan dan bahan R&amp;D. Bagi setiap bahan, senarai mencatat nama bahan, nama saintifik, kod atau nama dagangan, sumber, nama dan alamat pengeluar, status perisytiharan kepada pihak berkuasa, badan pensijilan halal dan tarikh luput sijil, dokumen sokongan dan catatan.</t>
        </is>
      </c>
      <c r="C100" s="7" t="inlineStr">
        <is>
          <t>MHMS 5(7) (Kawalan Bahan Mentah)</t>
        </is>
      </c>
      <c r="D100" s="7" t="inlineStr"/>
      <c r="E100" s="7" t="inlineStr"/>
      <c r="F100" t="inlineStr">
        <is>
          <t>E</t>
        </is>
      </c>
    </row>
    <row r="101">
      <c r="A101" s="7" t="inlineStr">
        <is>
          <t>E3</t>
        </is>
      </c>
      <c r="B101" s="7" t="inlineStr">
        <is>
          <t>Tarikh luput sijil halal setiap bahan dipantau, dan sijil baharu diperoleh sebelum sijil lama tamat tempoh. Tiada bahan dibeli atau digunakan dengan sijil halal yang telah tamat tempoh.</t>
        </is>
      </c>
      <c r="C101" s="7" t="inlineStr">
        <is>
          <t>MHMS 5(7); MPPHM 17(1)(b)</t>
        </is>
      </c>
      <c r="D101" s="7" t="inlineStr"/>
      <c r="E101" s="7" t="inlineStr"/>
      <c r="F101" t="inlineStr">
        <is>
          <t>E</t>
        </is>
      </c>
    </row>
    <row r="102">
      <c r="A102" s="7" t="inlineStr">
        <is>
          <t>E4</t>
        </is>
      </c>
      <c r="B102" s="7" t="inlineStr">
        <is>
          <t>Semua bahan diisytiharkan dalam MYeHALAL secara terperinci (nama, jenama, pengeluar) sama seperti pada label bahan. Bahan sebenar di stor dan barisan pengeluaran sepadan dengan Senarai Utama dan MYeHALAL, tanpa bahan yang tidak diisytiharkan.</t>
        </is>
      </c>
      <c r="C102" s="7" t="inlineStr">
        <is>
          <t>MPPHM 17(1)(g); MHMS 5(7)</t>
        </is>
      </c>
      <c r="D102" s="7" t="inlineStr"/>
      <c r="E102" s="7" t="inlineStr"/>
      <c r="F102" t="inlineStr">
        <is>
          <t>E</t>
        </is>
      </c>
    </row>
    <row r="103">
      <c r="A103" s="7" t="inlineStr">
        <is>
          <t>E5</t>
        </is>
      </c>
      <c r="B103" s="7" t="inlineStr">
        <is>
          <t>Tiada bahan yang diragui status halalnya (syubhah) digunakan atau disimpan di premis.</t>
        </is>
      </c>
      <c r="C103" s="7" t="inlineStr">
        <is>
          <t>MHMS 5(7); MPPHM 17(1)(a)</t>
        </is>
      </c>
      <c r="D103" s="7" t="inlineStr"/>
      <c r="E103" s="7" t="inlineStr"/>
      <c r="F103" t="inlineStr">
        <is>
          <t>E</t>
        </is>
      </c>
    </row>
    <row r="104">
      <c r="A104" s="7" t="inlineStr">
        <is>
          <t>E6</t>
        </is>
      </c>
      <c r="B104" s="7" t="inlineStr">
        <is>
          <t>Pembekal dinilai melalui Borang Soal Selidik Bahan Mentah atau kontrak perjanjian jual beli. Bagi HAS, senarai pembekal dicadangkan oleh bahagian pembelian dan diluluskan oleh JKHD. Audit pembekal atau penilaian semula status pembekal dibuat apabila perlu.</t>
        </is>
      </c>
      <c r="C104" s="7" t="inlineStr">
        <is>
          <t>MHMS 5(7) (Kawalan Bahan Mentah)</t>
        </is>
      </c>
      <c r="D104" s="7" t="inlineStr"/>
      <c r="E104" s="7" t="inlineStr"/>
      <c r="F104" t="inlineStr">
        <is>
          <t>E</t>
        </is>
      </c>
    </row>
    <row r="105">
      <c r="A105" s="7" t="inlineStr">
        <is>
          <t>E7</t>
        </is>
      </c>
      <c r="B105" s="7" t="inlineStr">
        <is>
          <t>Semasa penerimaan, setiap bahan diperiksa terhadap pesanan pembelian dan Senarai Utama: jenama, pengeluar, logo atau sijil halal, label yang jelas dan boleh difahami dengan nama bahan dan nama pengeluar, tarikh luput dan keadaan bungkusan. Rekod penerimaan disimpan.</t>
        </is>
      </c>
      <c r="C105" s="7" t="inlineStr">
        <is>
          <t>MHMS 5(7); MPPHM 17(1)(h); MS 1500 kl. 4.5*</t>
        </is>
      </c>
      <c r="D105" s="7" t="inlineStr"/>
      <c r="E105" s="7" t="inlineStr"/>
      <c r="F105" t="inlineStr">
        <is>
          <t>E</t>
        </is>
      </c>
    </row>
    <row r="106">
      <c r="A106" s="7" t="inlineStr">
        <is>
          <t>E8</t>
        </is>
      </c>
      <c r="B106" s="7" t="inlineStr">
        <is>
          <t>Bahan yang tidak memenuhi keperluan halal (cth. tiada sijil, jenama atau pengeluar berbeza, bungkusan rosak) diasingkan, dilabel, dan dipulangkan atau dilupuskan, dengan rekod.</t>
        </is>
      </c>
      <c r="C106" s="7" t="inlineStr">
        <is>
          <t>MHMS 5(7); MPPHM 17(4)(b)</t>
        </is>
      </c>
      <c r="D106" s="7" t="inlineStr"/>
      <c r="E106" s="7" t="inlineStr"/>
      <c r="F106" t="inlineStr">
        <is>
          <t>E</t>
        </is>
      </c>
    </row>
    <row r="107">
      <c r="A107" s="7" t="inlineStr">
        <is>
          <t>E9</t>
        </is>
      </c>
      <c r="B107" s="7" t="inlineStr">
        <is>
          <t>Tiada bahan daripada haiwan yang tidak halal menurut Hukum Syarak dan fatwa (cth. babi, anjing, haiwan bertaring atau pemangsa, haiwan beracun, katak, buaya, kura-kura), dan tiada bahan yang najis atau memabukkan.</t>
        </is>
      </c>
      <c r="C107" s="7" t="inlineStr">
        <is>
          <t>MS 1500 kl. 4.5*; Perintah Takrif Halal 2011 perenggan 3(1)(a), 3(1)(b), 3(1)(c)</t>
        </is>
      </c>
      <c r="D107" s="7" t="inlineStr"/>
      <c r="E107" s="7" t="inlineStr"/>
      <c r="F107" t="inlineStr">
        <is>
          <t>E</t>
        </is>
      </c>
    </row>
    <row r="108">
      <c r="A108" s="7" t="inlineStr">
        <is>
          <t>E10</t>
        </is>
      </c>
      <c r="B108" s="7" t="inlineStr">
        <is>
          <t>Bahan bersumberkan haiwan mempunyai sijil halal yang masih sah daripada JAKIM/JAIN/MAIN, atau daripada badan pensijilan halal luar negara yang diiktiraf JAKIM. Bagi bahan import, nama badan pensijilan itu tertera pada bahan.</t>
        </is>
      </c>
      <c r="C108" s="7" t="inlineStr">
        <is>
          <t>MPPHM 17(1)(b); Perintah Perakuan &amp; Penandaan Halal 2011 perenggan 5</t>
        </is>
      </c>
      <c r="D108" s="7" t="inlineStr"/>
      <c r="E108" s="7" t="inlineStr"/>
      <c r="F108" t="inlineStr">
        <is>
          <t>E</t>
        </is>
      </c>
    </row>
    <row r="109">
      <c r="A109" s="7" t="inlineStr">
        <is>
          <t>E11</t>
        </is>
      </c>
      <c r="B109" s="7" t="inlineStr">
        <is>
          <t>Bahan haiwan yang diimport berasal daripada rumah sembelihan atau loji pemprosesan yang diluluskan JPV, dengan dokumen sokongan (cth. permit import).</t>
        </is>
      </c>
      <c r="C109" s="7" t="inlineStr">
        <is>
          <t>MPPHM 17(1)(c)</t>
        </is>
      </c>
      <c r="D109" s="7" t="inlineStr"/>
      <c r="E109" s="7" t="inlineStr"/>
      <c r="F109" t="inlineStr">
        <is>
          <t>E</t>
        </is>
      </c>
    </row>
    <row r="110">
      <c r="A110" s="7" t="inlineStr">
        <is>
          <t>E12</t>
        </is>
      </c>
      <c r="B110" s="7" t="inlineStr">
        <is>
          <t>Bahan yang tidak dipersijilkan halal mempunyai dokumen sokongan yang lengkap (komposisi atau spesifikasi, carta alir proses, sumber bahan), dan pengeluar asalnya dapat dikenal pasti.</t>
        </is>
      </c>
      <c r="C110" s="7" t="inlineStr">
        <is>
          <t>MPPHM 17(1)(d), 17(1)(e)</t>
        </is>
      </c>
      <c r="D110" s="7" t="inlineStr"/>
      <c r="E110" s="7" t="inlineStr"/>
      <c r="F110" t="inlineStr">
        <is>
          <t>E</t>
        </is>
      </c>
    </row>
    <row r="111">
      <c r="A111" s="7" t="inlineStr">
        <is>
          <t>E13</t>
        </is>
      </c>
      <c r="B111" s="7" t="inlineStr">
        <is>
          <t>Bahan yang menjalani proses tambahan oleh pihak ketiga (cth. dipotong, dikisar, dicampur awal (premix), dikering sembur atau dibungkus semula) mempunyai sijil halal yang sah.</t>
        </is>
      </c>
      <c r="C111" s="7" t="inlineStr">
        <is>
          <t>MPPHM 17(1)(f)</t>
        </is>
      </c>
      <c r="D111" s="7" t="inlineStr"/>
      <c r="E111" s="7" t="inlineStr"/>
      <c r="F111" t="inlineStr">
        <is>
          <t>E</t>
        </is>
      </c>
    </row>
    <row r="112">
      <c r="A112" s="7" t="inlineStr">
        <is>
          <t>E14</t>
        </is>
      </c>
      <c r="B112" s="7" t="inlineStr">
        <is>
          <t>Pengemulsi dan bahan berasaskan lemak (cth. E471, E472, E481, E482, E491-E495, gliserin E422, asid stearik, lemak, shortening dan minyak haiwan) mempunyai sijil halal atau bukti bahawa sumbernya tumbuhan atau sintetik.</t>
        </is>
      </c>
      <c r="C112" s="7" t="inlineStr">
        <is>
          <t>MPPHM 17(1)(b), 17(1)(d); MS 1500 kl. 4.5*</t>
        </is>
      </c>
      <c r="D112" s="7" t="inlineStr"/>
      <c r="E112" s="7" t="inlineStr"/>
      <c r="F112" t="inlineStr">
        <is>
          <t>E</t>
        </is>
      </c>
    </row>
    <row r="113">
      <c r="A113" s="7" t="inlineStr">
        <is>
          <t>E15</t>
        </is>
      </c>
      <c r="B113" s="7" t="inlineStr">
        <is>
          <t>Gelatin dan kolagen (termasuk kapsul gelatin dan sarung sosej kolagen) bersijil halal, dan sumbernya ialah ikan atau haiwan halal yang disembelih mengikut Hukum Syarak. Tiada yang bersumberkan babi.</t>
        </is>
      </c>
      <c r="C113" s="7" t="inlineStr">
        <is>
          <t>MPPHM 17(1)(b); MS 1500 kl. 4.5*; Perintah Takrif Halal 2011 perenggan 3(1)(a)</t>
        </is>
      </c>
      <c r="D113" s="7" t="inlineStr"/>
      <c r="E113" s="7" t="inlineStr"/>
      <c r="F113" t="inlineStr">
        <is>
          <t>E</t>
        </is>
      </c>
    </row>
    <row r="114">
      <c r="A114" s="7" t="inlineStr">
        <is>
          <t>E16</t>
        </is>
      </c>
      <c r="B114" s="7" t="inlineStr">
        <is>
          <t>Enzim, renet, kultur mikrob, probiotik dan yis mempunyai sijil halal atau bukti sumber (cth. renet mikrob), termasuk status halal media pertumbuhannya. Tiada enzim daripada babi (cth. pepsin atau lipase babi) digunakan.</t>
        </is>
      </c>
      <c r="C114" s="7" t="inlineStr">
        <is>
          <t>MPPHM 17(1)(b), 17(1)(d); MS 1500 kl. 4.5*; PM 1985 per. 25, 26A</t>
        </is>
      </c>
      <c r="D114" s="7" t="inlineStr"/>
      <c r="E114" s="7" t="inlineStr"/>
      <c r="F114" t="inlineStr">
        <is>
          <t>E</t>
        </is>
      </c>
    </row>
    <row r="115">
      <c r="A115" s="7" t="inlineStr">
        <is>
          <t>E17</t>
        </is>
      </c>
      <c r="B115" s="7" t="inlineStr">
        <is>
          <t>L-sistein (E920) dan asid amino seumpamanya tidak berasal daripada rambut manusia atau bulu babi.</t>
        </is>
      </c>
      <c r="C115" s="7" t="inlineStr">
        <is>
          <t>Perintah Takrif Halal 2011 perenggan 3(1)(a), 3(1)(d); MS 1500 kl. 4.5*</t>
        </is>
      </c>
      <c r="D115" s="7" t="inlineStr"/>
      <c r="E115" s="7" t="inlineStr"/>
      <c r="F115" t="inlineStr">
        <is>
          <t>E</t>
        </is>
      </c>
    </row>
    <row r="116">
      <c r="A116" s="7" t="inlineStr">
        <is>
          <t>E18</t>
        </is>
      </c>
      <c r="B116" s="7" t="inlineStr">
        <is>
          <t>Tiada darah, plasma darah atau produk darah digunakan.</t>
        </is>
      </c>
      <c r="C116" s="7" t="inlineStr">
        <is>
          <t>Perintah Takrif Halal 2011 perenggan 3(1)(b); MS 1500 kl. 4.5*</t>
        </is>
      </c>
      <c r="D116" s="7" t="inlineStr"/>
      <c r="E116" s="7" t="inlineStr"/>
      <c r="F116" t="inlineStr">
        <is>
          <t>E</t>
        </is>
      </c>
    </row>
    <row r="117">
      <c r="A117" s="7" t="inlineStr">
        <is>
          <t>E19</t>
        </is>
      </c>
      <c r="B117" s="7" t="inlineStr">
        <is>
          <t>Perisa, esen dan ekstrak yang menggunakan pelarut atau pembawa etanol (cth. ekstrak vanila) mempunyai sijil halal, dan etanolnya bukan daripada industri arak.</t>
        </is>
      </c>
      <c r="C117" s="7" t="inlineStr">
        <is>
          <t>Fatwa MKI 2011 (alkohol); MS 1500 kl. 4.5*; MPPHM 17(1)(d), 17(16)(b)</t>
        </is>
      </c>
      <c r="D117" s="7" t="inlineStr"/>
      <c r="E117" s="7" t="inlineStr"/>
      <c r="F117" t="inlineStr">
        <is>
          <t>E</t>
        </is>
      </c>
    </row>
    <row r="118">
      <c r="A118" s="7" t="inlineStr">
        <is>
          <t>E20</t>
        </is>
      </c>
      <c r="B118" s="7" t="inlineStr">
        <is>
          <t>Alkohol dalam produk akhir yang berpunca daripada perisa atau pewarna (alkohol sebagai penstabil) tidak memabukkan, dan kadarnya tidak melebihi 0.5%. Kadar alkohol minuman ringan yang tidak dibuat melalui proses membuat arak berada di bawah 1% v/v.</t>
        </is>
      </c>
      <c r="C118" s="7" t="inlineStr">
        <is>
          <t>Fatwa MKI 2011 (alkohol)</t>
        </is>
      </c>
      <c r="D118" s="7" t="inlineStr"/>
      <c r="E118" s="7" t="inlineStr"/>
      <c r="F118" t="inlineStr">
        <is>
          <t>E</t>
        </is>
      </c>
    </row>
    <row r="119">
      <c r="A119" s="7" t="inlineStr">
        <is>
          <t>E21</t>
        </is>
      </c>
      <c r="B119" s="7" t="inlineStr">
        <is>
          <t>Tiada minuman dihasilkan dengan niat dan cara yang sama seperti proses membuat arak (cth. bir atau wain yang dinyahalkohol), walaupun kadar alkoholnya rendah.</t>
        </is>
      </c>
      <c r="C119" s="7" t="inlineStr">
        <is>
          <t>Fatwa MKI 2011 (alkohol); MPPHM 6(1)</t>
        </is>
      </c>
      <c r="D119" s="7" t="inlineStr"/>
      <c r="E119" s="7" t="inlineStr"/>
      <c r="F119" t="inlineStr">
        <is>
          <t>E</t>
        </is>
      </c>
    </row>
    <row r="120">
      <c r="A120" s="7" t="inlineStr">
        <is>
          <t>E22</t>
        </is>
      </c>
      <c r="B120" s="7" t="inlineStr">
        <is>
          <t>Bagi pewarna, vitamin dan nutrien tambahan yang dibekalkan dalam pembawa atau salutan (cth. manik gelatin, pelarut etanol atau gliserin), sijil halal atau dokumen sumber bagi pembawa dan salutan itu tersedia.</t>
        </is>
      </c>
      <c r="C120" s="7" t="inlineStr">
        <is>
          <t>MPPHM 17(1)(d); MS 1500 kl. 4.5*; PM 1985 per. 21, 26</t>
        </is>
      </c>
      <c r="D120" s="7" t="inlineStr"/>
      <c r="E120" s="7" t="inlineStr"/>
      <c r="F120" t="inlineStr">
        <is>
          <t>E</t>
        </is>
      </c>
    </row>
    <row r="121">
      <c r="A121" s="7" t="inlineStr">
        <is>
          <t>E23</t>
        </is>
      </c>
      <c r="B121" s="7" t="inlineStr">
        <is>
          <t>Bahan bantu pemprosesan dan bahan bantu penapisan (cth. karbon teraktif, tanah peluntur, agen antibuih, agen penjernih seperti gelatin, agen pelepas acuan) mempunyai sijil halal atau dokumen sumber, dan mematuhi garis panduan Codex CAC/GL 75.</t>
        </is>
      </c>
      <c r="C121" s="7" t="inlineStr">
        <is>
          <t>MS 1500 kl. 4.3*; MPPHM 17(1)(d); PM 1985 per. 19A</t>
        </is>
      </c>
      <c r="D121" s="7" t="inlineStr"/>
      <c r="E121" s="7" t="inlineStr"/>
      <c r="F121" t="inlineStr">
        <is>
          <t>E</t>
        </is>
      </c>
    </row>
    <row r="122">
      <c r="A122" s="7" t="inlineStr">
        <is>
          <t>E24</t>
        </is>
      </c>
      <c r="B122" s="7" t="inlineStr">
        <is>
          <t>Bahan GMO tidak mengandungi bahan genetik daripada haiwan yang tidak halal, dan dilabel 'genetically modified (nama ramuan)' mengikut PM 1985.</t>
        </is>
      </c>
      <c r="C122" s="7" t="inlineStr">
        <is>
          <t>MS 1500 kl. 4.5*; PM 1985 per. 11(7)</t>
        </is>
      </c>
      <c r="D122" s="7" t="inlineStr"/>
      <c r="E122" s="7" t="inlineStr"/>
      <c r="F122" t="inlineStr">
        <is>
          <t>E</t>
        </is>
      </c>
    </row>
    <row r="123">
      <c r="A123" s="7" t="inlineStr">
        <is>
          <t>E25</t>
        </is>
      </c>
      <c r="B123" s="7" t="inlineStr">
        <is>
          <t>Bahan mentah tidak tercemar parasit, mikroorganisma patogen, toksin atau bahan asing, dan bahan yang rosak atau tidak layak dimakan ditolak.</t>
        </is>
      </c>
      <c r="C123" s="7" t="inlineStr">
        <is>
          <t>PKM per. 36(1)(j); Akta Makanan 1983 s. 13, 13A; Perintah Takrif Halal 2011 perenggan 3(1)(e)</t>
        </is>
      </c>
      <c r="D123" s="7" t="inlineStr"/>
      <c r="E123" s="7" t="inlineStr"/>
      <c r="F123" t="inlineStr">
        <is>
          <t>E</t>
        </is>
      </c>
    </row>
    <row r="124">
      <c r="A124" s="7" t="inlineStr">
        <is>
          <t>E26</t>
        </is>
      </c>
      <c r="B124" s="7" t="inlineStr">
        <is>
          <t>Hanya bahan tambah makanan yang dibenarkan (pengawet, agen antimikrob, pewarna, perisa, penambah perisa, antioksida, pengkondisi makanan, nutrien tambahan) digunakan, dan dalam had yang ditetapkan.</t>
        </is>
      </c>
      <c r="C124" s="7" t="inlineStr">
        <is>
          <t>PM 1985 per. 19-26A; MPPHM 17(1)(i)</t>
        </is>
      </c>
      <c r="D124" s="7" t="inlineStr"/>
      <c r="E124" s="7" t="inlineStr"/>
      <c r="F124" t="inlineStr">
        <is>
          <t>E</t>
        </is>
      </c>
    </row>
    <row r="125">
      <c r="A125" s="7" t="inlineStr">
        <is>
          <t>E27</t>
        </is>
      </c>
      <c r="B125" s="7" t="inlineStr">
        <is>
          <t>Produk dagangan (produk siap yang dibeli untuk dijual semula) mempunyai sijil halal yang sah dan telah diisytiharkan.</t>
        </is>
      </c>
      <c r="C125" s="7" t="inlineStr">
        <is>
          <t>MPPHM 5(9), 17(1)(g)</t>
        </is>
      </c>
      <c r="D125" s="7" t="inlineStr"/>
      <c r="E125" s="7" t="inlineStr"/>
      <c r="F125" t="inlineStr">
        <is>
          <t>E</t>
        </is>
      </c>
    </row>
    <row r="126">
      <c r="A126" s="4" t="inlineStr">
        <is>
          <t>Bahagian F: Penyimpanan</t>
        </is>
      </c>
      <c r="B126" s="5" t="n"/>
      <c r="C126" s="5" t="n"/>
      <c r="D126" s="5" t="n"/>
      <c r="E126" s="6" t="n"/>
    </row>
    <row r="127" ht="26" customHeight="1">
      <c r="A127" s="2" t="inlineStr">
        <is>
          <t>Periksa stor bahan mentah, bilik sejuk dan beku, stor bahan pembungkusan, stor produk siap, kawasan R&amp;D, reject dan barang pulangan, stor bahan kimia, stor pihak ketiga dan kedai kilang (jika ada).</t>
        </is>
      </c>
    </row>
    <row r="128">
      <c r="A128" s="7" t="inlineStr">
        <is>
          <t>F1</t>
        </is>
      </c>
      <c r="B128" s="7" t="inlineStr">
        <is>
          <t>Kawasan penyimpanan dikhususkan untuk bahan dan produk halal sahaja, termasuk produk dagangan, tanpa makanan asal babi atau arak.</t>
        </is>
      </c>
      <c r="C128" s="7" t="inlineStr">
        <is>
          <t>MPPHM 17(4)(a); PKM per. 38(1)(e); MS 1500 kl. 4.6*</t>
        </is>
      </c>
      <c r="D128" s="7" t="inlineStr"/>
      <c r="E128" s="7" t="inlineStr"/>
      <c r="F128" t="inlineStr">
        <is>
          <t>F</t>
        </is>
      </c>
    </row>
    <row r="129">
      <c r="A129" s="7" t="inlineStr">
        <is>
          <t>F2</t>
        </is>
      </c>
      <c r="B129" s="7" t="inlineStr">
        <is>
          <t>Stor yang berasingan, bersaiz mencukupi dan dilengkapi kelengkapan yang sesuai disediakan bagi bahan mentah dan bagi produk yang telah diproses. Ini termasuk storan sejuk yang berasingan.</t>
        </is>
      </c>
      <c r="C129" s="7" t="inlineStr">
        <is>
          <t>PKM per. 25(1), 25(2), 25(3), 38(1)(a)</t>
        </is>
      </c>
      <c r="D129" s="7" t="inlineStr"/>
      <c r="E129" s="7" t="inlineStr"/>
      <c r="F129" t="inlineStr">
        <is>
          <t>F</t>
        </is>
      </c>
    </row>
    <row r="130">
      <c r="A130" s="7" t="inlineStr">
        <is>
          <t>F3</t>
        </is>
      </c>
      <c r="B130" s="7" t="inlineStr">
        <is>
          <t>Bahan mentah, bahan pembungkusan, produk siap, bahan R&amp;D, produk reject, peralatan dan bahan kimia disimpan berasingan dan dilabel. Barang yang tidak berkaitan dengan pemprosesan tidak disimpan bersama bahan mentah atau produk siap.</t>
        </is>
      </c>
      <c r="C130" s="7" t="inlineStr">
        <is>
          <t>MPPHM 17(4)(b), 17(4)(c)</t>
        </is>
      </c>
      <c r="D130" s="7" t="inlineStr"/>
      <c r="E130" s="7" t="inlineStr"/>
      <c r="F130" t="inlineStr">
        <is>
          <t>F</t>
        </is>
      </c>
    </row>
    <row r="131">
      <c r="A131" s="7" t="inlineStr">
        <is>
          <t>F4</t>
        </is>
      </c>
      <c r="B131" s="7" t="inlineStr">
        <is>
          <t>Bahan pencuci, disinfektan dan racun perosak dilabel, disimpan berasingan daripada makanan dan dikawal.</t>
        </is>
      </c>
      <c r="C131" s="7" t="inlineStr">
        <is>
          <t>MPPHM 17(3)(g); PKM per. 15(6), 38(1)(b)</t>
        </is>
      </c>
      <c r="D131" s="7" t="inlineStr"/>
      <c r="E131" s="7" t="inlineStr"/>
      <c r="F131" t="inlineStr">
        <is>
          <t>F</t>
        </is>
      </c>
    </row>
    <row r="132">
      <c r="A132" s="7" t="inlineStr">
        <is>
          <t>F5</t>
        </is>
      </c>
      <c r="B132" s="7" t="inlineStr">
        <is>
          <t>Bahan dan produk disusun di atas palet atau rak, sekurang-kurangnya 15 cm dari dinding dan 20 cm dari lantai, supaya mudah dibersihkan.</t>
        </is>
      </c>
      <c r="C132" s="7" t="inlineStr">
        <is>
          <t>PKM per. 38(1)(d); MPPHM 17(4)(g)</t>
        </is>
      </c>
      <c r="D132" s="7" t="inlineStr"/>
      <c r="E132" s="7" t="inlineStr"/>
      <c r="F132" t="inlineStr">
        <is>
          <t>F</t>
        </is>
      </c>
    </row>
    <row r="133">
      <c r="A133" s="7" t="inlineStr">
        <is>
          <t>F6</t>
        </is>
      </c>
      <c r="B133" s="7" t="inlineStr">
        <is>
          <t>Bahan dan produk disimpan mengikut sifatnya, dalam keadaan bersih dan bebas daripada bau busuk, lembap, habuk dan perosak. Makanan berisiko tinggi disimpan dalam bekas tertutup.</t>
        </is>
      </c>
      <c r="C133" s="7" t="inlineStr">
        <is>
          <t>MPPHM 17(4)(d), 17(4)(e); PKM per. 38(1)(c), 38(1)(f), 38(1)(g)</t>
        </is>
      </c>
      <c r="D133" s="7" t="inlineStr"/>
      <c r="E133" s="7" t="inlineStr"/>
      <c r="F133" t="inlineStr">
        <is>
          <t>F</t>
        </is>
      </c>
    </row>
    <row r="134">
      <c r="A134" s="7" t="inlineStr">
        <is>
          <t>F7</t>
        </is>
      </c>
      <c r="B134" s="7" t="inlineStr">
        <is>
          <t>Bahan yang telah dibuka atau dipindahkan ke bekas lain dilabel dengan nama bahan, jenama atau pembekal, nombor kelompok dan tarikh, supaya status halalnya masih dapat dikenal pasti.</t>
        </is>
      </c>
      <c r="C134" s="7" t="inlineStr">
        <is>
          <t>PKM per. 38(1)(h); MHMS 5(9)</t>
        </is>
      </c>
      <c r="D134" s="7" t="inlineStr"/>
      <c r="E134" s="7" t="inlineStr"/>
      <c r="F134" t="inlineStr">
        <is>
          <t>F</t>
        </is>
      </c>
    </row>
    <row r="135">
      <c r="A135" s="7" t="inlineStr">
        <is>
          <t>F8</t>
        </is>
      </c>
      <c r="B135" s="7" t="inlineStr">
        <is>
          <t>Stok dipusingkan mengikut prinsip masuk dahulu keluar dahulu (FIFO).</t>
        </is>
      </c>
      <c r="C135" s="7" t="inlineStr">
        <is>
          <t>PKM per. 38(1)(i)</t>
        </is>
      </c>
      <c r="D135" s="7" t="inlineStr"/>
      <c r="E135" s="7" t="inlineStr"/>
      <c r="F135" t="inlineStr">
        <is>
          <t>F</t>
        </is>
      </c>
    </row>
    <row r="136">
      <c r="A136" s="7" t="inlineStr">
        <is>
          <t>F9</t>
        </is>
      </c>
      <c r="B136" s="7" t="inlineStr">
        <is>
          <t>Kawasan penyimpanan mempunyai prosedur, rekod stok keluar masuk yang lengkap, dan penandaan lokasi yang jelas.</t>
        </is>
      </c>
      <c r="C136" s="7" t="inlineStr">
        <is>
          <t>MPPHM 17(4)(f)</t>
        </is>
      </c>
      <c r="D136" s="7" t="inlineStr"/>
      <c r="E136" s="7" t="inlineStr"/>
      <c r="F136" t="inlineStr">
        <is>
          <t>F</t>
        </is>
      </c>
    </row>
    <row r="137">
      <c r="A137" s="7" t="inlineStr">
        <is>
          <t>F10</t>
        </is>
      </c>
      <c r="B137" s="7" t="inlineStr">
        <is>
          <t>Makanan sejuk disimpan pada -1°C hingga 10°C dan makanan beku (termasuk daging beku) pada -18°C, rantaian sejuk tidak terputus, dan storan sejuk tidak diisi melebihi kapasitinya.</t>
        </is>
      </c>
      <c r="C137" s="7" t="inlineStr">
        <is>
          <t>PKM per. 38(2), 38(3), 38(4), 39(1)(c); MPPHM 17(4)(i)</t>
        </is>
      </c>
      <c r="D137" s="7" t="inlineStr"/>
      <c r="E137" s="7" t="inlineStr"/>
      <c r="F137" t="inlineStr">
        <is>
          <t>F</t>
        </is>
      </c>
    </row>
    <row r="138">
      <c r="A138" s="7" t="inlineStr">
        <is>
          <t>F11</t>
        </is>
      </c>
      <c r="B138" s="7" t="inlineStr">
        <is>
          <t>Storan sejuk dinyahfros apabila perlu, dan lapisan dalamnya licin, tidak toksik, berwarna cerah dan mudah dibersihkan. Alat pengukur suhu tepat dalam lingkungan ±1°C, dan rekod suhu disimpan.</t>
        </is>
      </c>
      <c r="C138" s="7" t="inlineStr">
        <is>
          <t>PKM per. 25(4), 11(1)(d)</t>
        </is>
      </c>
      <c r="D138" s="7" t="inlineStr"/>
      <c r="E138" s="7" t="inlineStr"/>
      <c r="F138" t="inlineStr">
        <is>
          <t>F</t>
        </is>
      </c>
    </row>
    <row r="139">
      <c r="A139" s="7" t="inlineStr">
        <is>
          <t>F12</t>
        </is>
      </c>
      <c r="B139" s="7" t="inlineStr">
        <is>
          <t>Pintu bilik sejuk dipasang tirai udara atau peranti setara untuk mengelakkan kehilangan udara sejuk dan kenaikan suhu.</t>
        </is>
      </c>
      <c r="C139" s="7" t="inlineStr">
        <is>
          <t>PKM per. 25(5)</t>
        </is>
      </c>
      <c r="D139" s="7" t="inlineStr"/>
      <c r="E139" s="7" t="inlineStr"/>
      <c r="F139" t="inlineStr">
        <is>
          <t>F</t>
        </is>
      </c>
    </row>
    <row r="140">
      <c r="A140" s="7" t="inlineStr">
        <is>
          <t>F13</t>
        </is>
      </c>
      <c r="B140" s="7" t="inlineStr">
        <is>
          <t>Barang pulangan pelanggan dan produk tamat tempoh disimpan di kawasan berasingan yang bertanda, dengan rekod, sehingga keputusan pelupusan dibuat.</t>
        </is>
      </c>
      <c r="C140" s="7" t="inlineStr">
        <is>
          <t>MPPHM 17(4)(b); MHMS 5(9)</t>
        </is>
      </c>
      <c r="D140" s="7" t="inlineStr"/>
      <c r="E140" s="7" t="inlineStr"/>
      <c r="F140" t="inlineStr">
        <is>
          <t>F</t>
        </is>
      </c>
    </row>
    <row r="141">
      <c r="A141" s="7" t="inlineStr">
        <is>
          <t>F14</t>
        </is>
      </c>
      <c r="B141" s="7" t="inlineStr">
        <is>
          <t>Stor pihak ketiga (jika digunakan): kontrak, perjanjian bertulis atau persetujuan bersama tersedia, keutamaan diberi kepada penyedia perkhidmatan penggudangan yang memiliki SPHM, dan produk syarikat tidak disimpan bersama produk tidak halal.</t>
        </is>
      </c>
      <c r="C141" s="7" t="inlineStr">
        <is>
          <t>MPPHM 17(4)(h), 17(4)(a)</t>
        </is>
      </c>
      <c r="D141" s="7" t="inlineStr"/>
      <c r="E141" s="7" t="inlineStr"/>
      <c r="F141" t="inlineStr">
        <is>
          <t>F</t>
        </is>
      </c>
    </row>
    <row r="142">
      <c r="A142" s="7" t="inlineStr">
        <is>
          <t>F15</t>
        </is>
      </c>
      <c r="B142" s="7" t="inlineStr">
        <is>
          <t>Pemproses ikan (jika berkaitan): ikan segar, ikan yang dinyahbeku dan krustasea yang diproses disimpan pada suhu hampir ais cair. Ikan beku disimpan di bawah -18°C, dan ikan beku dalam air garam untuk pengetinan di bawah -9°C.</t>
        </is>
      </c>
      <c r="C142" s="7" t="inlineStr">
        <is>
          <t>PKM per. 45(1)</t>
        </is>
      </c>
      <c r="D142" s="7" t="inlineStr"/>
      <c r="E142" s="7" t="inlineStr"/>
      <c r="F142" t="inlineStr">
        <is>
          <t>F</t>
        </is>
      </c>
    </row>
    <row r="143">
      <c r="A143" s="7" t="inlineStr">
        <is>
          <t>F16</t>
        </is>
      </c>
      <c r="B143" s="7" t="inlineStr">
        <is>
          <t>Kilang aiskrim (jika berkaitan): aiskrim dan konfeksi beku siap disimpan di bawah -18°C, dan produk yang telah cair atau dibekukan semula tidak dikeluarkan untuk dijual.</t>
        </is>
      </c>
      <c r="C143" s="7" t="inlineStr">
        <is>
          <t>PKM per. 49(1)</t>
        </is>
      </c>
      <c r="D143" s="7" t="inlineStr"/>
      <c r="E143" s="7" t="inlineStr"/>
      <c r="F143" t="inlineStr">
        <is>
          <t>F</t>
        </is>
      </c>
    </row>
    <row r="144">
      <c r="A144" s="7" t="inlineStr">
        <is>
          <t>F17</t>
        </is>
      </c>
      <c r="B144" s="7" t="inlineStr">
        <is>
          <t>Kedai atau outlet kilang (jika ada): hanya produk halal yang dipamer dan dijual, tanpa produk tidak halal. Makanan sedia dimakan dilindungi dalam kabinet atau bekas tertutup.</t>
        </is>
      </c>
      <c r="C144" s="7" t="inlineStr">
        <is>
          <t>MS 1500 kl. 4.6*; MPPHM 17(4)(a); PKM per. 37</t>
        </is>
      </c>
      <c r="D144" s="7" t="inlineStr"/>
      <c r="E144" s="7" t="inlineStr"/>
      <c r="F144" t="inlineStr">
        <is>
          <t>F</t>
        </is>
      </c>
    </row>
    <row r="145">
      <c r="A145" s="7" t="inlineStr">
        <is>
          <t>F18</t>
        </is>
      </c>
      <c r="B145" s="7" t="inlineStr">
        <is>
          <t>Kawasan penyimpanan yang tercemar najis mughallazah telah disertu, dengan rekod.</t>
        </is>
      </c>
      <c r="C145" s="7" t="inlineStr">
        <is>
          <t>MPPHM 17(4)(j); MS 1500 Lampiran A*</t>
        </is>
      </c>
      <c r="D145" s="7" t="inlineStr"/>
      <c r="E145" s="7" t="inlineStr"/>
      <c r="F145" t="inlineStr">
        <is>
          <t>F</t>
        </is>
      </c>
    </row>
    <row r="146">
      <c r="A146" s="4" t="inlineStr">
        <is>
          <t>Bahagian G: Pemprosesan, Pengeluaran &amp; R&amp;D</t>
        </is>
      </c>
      <c r="B146" s="5" t="n"/>
      <c r="C146" s="5" t="n"/>
      <c r="D146" s="5" t="n"/>
      <c r="E146" s="6" t="n"/>
    </row>
    <row r="147" ht="26" customHeight="1">
      <c r="A147" s="2" t="inlineStr">
        <is>
          <t>Semasa pengeluaran berjalan, perhatikan bilik timbang, penyediaan, pemprosesan, pertukaran barisan, pengendalian rework dan reject, serta kawasan R&amp;D dan makmal, dan padankan formulasi dengan rekod pengeluaran.</t>
        </is>
      </c>
    </row>
    <row r="148">
      <c r="A148" s="7" t="inlineStr">
        <is>
          <t>G1</t>
        </is>
      </c>
      <c r="B148" s="7" t="inlineStr">
        <is>
          <t>Semua aktiviti penyediaan dan pemprosesan memenuhi Hukum Syarak dan perundangan yang berkuat kuasa.</t>
        </is>
      </c>
      <c r="C148" s="7" t="inlineStr">
        <is>
          <t>MPPHM 17(3)(a); MS 1500 kl. 4.5*</t>
        </is>
      </c>
      <c r="D148" s="7" t="inlineStr"/>
      <c r="E148" s="7" t="inlineStr"/>
      <c r="F148" t="inlineStr">
        <is>
          <t>G</t>
        </is>
      </c>
    </row>
    <row r="149">
      <c r="A149" s="7" t="inlineStr">
        <is>
          <t>G2</t>
        </is>
      </c>
      <c r="B149" s="7" t="inlineStr">
        <is>
          <t>Kawasan pemprosesan bebas daripada sebarang bahan mentah atau produk tidak halal, dan tiada makanan asal babi disediakan atau dibungkus di premis.</t>
        </is>
      </c>
      <c r="C149" s="7" t="inlineStr">
        <is>
          <t>MPPHM 17(3)(b); PKM per. 36(2), 36(3); Perintah Takrif Halal 2011 perenggan 3(1)(g)</t>
        </is>
      </c>
      <c r="D149" s="7" t="inlineStr"/>
      <c r="E149" s="7" t="inlineStr"/>
      <c r="F149" t="inlineStr">
        <is>
          <t>G</t>
        </is>
      </c>
    </row>
    <row r="150">
      <c r="A150" s="7" t="inlineStr">
        <is>
          <t>G3</t>
        </is>
      </c>
      <c r="B150" s="7" t="inlineStr">
        <is>
          <t>Kawasan pemprosesan hanya digunakan untuk memproses dan mengendalikan produk yang dipohon atau telah dipersijilkan halal. Jika kawasan itu turut digunakan untuk tujuan lain, mekanisme kawalan halal dilaksanakan.</t>
        </is>
      </c>
      <c r="C150" s="7" t="inlineStr">
        <is>
          <t>MPPHM 17(3)(c)</t>
        </is>
      </c>
      <c r="D150" s="7" t="inlineStr"/>
      <c r="E150" s="7" t="inlineStr"/>
      <c r="F150" t="inlineStr">
        <is>
          <t>G</t>
        </is>
      </c>
    </row>
    <row r="151">
      <c r="A151" s="7" t="inlineStr">
        <is>
          <t>G4</t>
        </is>
      </c>
      <c r="B151" s="7" t="inlineStr">
        <is>
          <t>Kawasan pemprosesan bebas daripada sebarang aktiviti menghasilkan produk untuk tujuan keagamaan (cth. makanan atau bahan persembahan untuk upacara penyembahan).</t>
        </is>
      </c>
      <c r="C151" s="7" t="inlineStr">
        <is>
          <t>MPPHM 17(3)(d)</t>
        </is>
      </c>
      <c r="D151" s="7" t="inlineStr"/>
      <c r="E151" s="7" t="inlineStr"/>
      <c r="F151" t="inlineStr">
        <is>
          <t>G</t>
        </is>
      </c>
    </row>
    <row r="152">
      <c r="A152" s="7" t="inlineStr">
        <is>
          <t>G5</t>
        </is>
      </c>
      <c r="B152" s="7" t="inlineStr">
        <is>
          <t>Produk tidak berbentuk atau menyerupai haiwan najis mughallazah (cth. gula-gula atau biskut berbentuk babi atau anjing), tidak mengandungi unsur keagamaan, dan tidak memberi implikasi negatif (cth. gula-gula berbentuk rokok).</t>
        </is>
      </c>
      <c r="C152" s="7" t="inlineStr">
        <is>
          <t>MPPHM 17(2)(a)</t>
        </is>
      </c>
      <c r="D152" s="7" t="inlineStr"/>
      <c r="E152" s="7" t="inlineStr"/>
      <c r="F152" t="inlineStr">
        <is>
          <t>G</t>
        </is>
      </c>
    </row>
    <row r="153">
      <c r="A153" s="7" t="inlineStr">
        <is>
          <t>G6</t>
        </is>
      </c>
      <c r="B153" s="7" t="inlineStr">
        <is>
          <t>Formulasi induk setiap produk telah diluluskan dan sepadan dengan bahan yang diisytiharkan dalam MYeHALAL. Bahan yang ditimbang untuk setiap kelompok dilabel. Rekod pengeluaran kelompok menunjukkan hanya bahan yang diluluskan digunakan, dan produk dihasilkan secara konsisten.</t>
        </is>
      </c>
      <c r="C153" s="7" t="inlineStr">
        <is>
          <t>MPPHM 17(2)(d), 17(1)(g); MHMS 5(9)</t>
        </is>
      </c>
      <c r="D153" s="7" t="inlineStr"/>
      <c r="E153" s="7" t="inlineStr"/>
      <c r="F153" t="inlineStr">
        <is>
          <t>G</t>
        </is>
      </c>
    </row>
    <row r="154">
      <c r="A154" s="7" t="inlineStr">
        <is>
          <t>G7</t>
        </is>
      </c>
      <c r="B154" s="7" t="inlineStr">
        <is>
          <t>Sukatan dan timbangan produk akhir memenuhi kandungan bersih yang dinyatakan pada label, dan rekod semakan berat atau isipadu disimpan.</t>
        </is>
      </c>
      <c r="C154" s="7" t="inlineStr">
        <is>
          <t>MPPHM 17(2)(f); PM 1985 per. 11(1)(i)</t>
        </is>
      </c>
      <c r="D154" s="7" t="inlineStr"/>
      <c r="E154" s="7" t="inlineStr"/>
      <c r="F154" t="inlineStr">
        <is>
          <t>G</t>
        </is>
      </c>
    </row>
    <row r="155">
      <c r="A155" s="7" t="inlineStr">
        <is>
          <t>G8</t>
        </is>
      </c>
      <c r="B155" s="7" t="inlineStr">
        <is>
          <t>Komposisi produk siap sepadan dengan nama, label dan standard makanan dalam PM 1985: produk tidak dicampur atau dicairkan dengan bahan yang mengurangkan sifat atau kualitinya.</t>
        </is>
      </c>
      <c r="C155" s="7" t="inlineStr">
        <is>
          <t>Akta Makanan 1983 s. 13B, 14, 15</t>
        </is>
      </c>
      <c r="D155" s="7" t="inlineStr"/>
      <c r="E155" s="7" t="inlineStr"/>
      <c r="F155" t="inlineStr">
        <is>
          <t>G</t>
        </is>
      </c>
    </row>
    <row r="156">
      <c r="A156" s="7" t="inlineStr">
        <is>
          <t>G9</t>
        </is>
      </c>
      <c r="B156" s="7" t="inlineStr">
        <is>
          <t>Barisan dan peralatan yang dikongsi antara produk dibersihkan mengikut prosedur pertukaran barisan (changeover) sebelum produk lain dikeluarkan, dan pembersihan itu direkodkan.</t>
        </is>
      </c>
      <c r="C156" s="7" t="inlineStr">
        <is>
          <t>MPPHM 17(5)(e); MHMS 5(6)</t>
        </is>
      </c>
      <c r="D156" s="7" t="inlineStr"/>
      <c r="E156" s="7" t="inlineStr"/>
      <c r="F156" t="inlineStr">
        <is>
          <t>G</t>
        </is>
      </c>
    </row>
    <row r="157">
      <c r="A157" s="7" t="inlineStr">
        <is>
          <t>G10</t>
        </is>
      </c>
      <c r="B157" s="7" t="inlineStr">
        <is>
          <t>Rework hanya digunakan semula dalam produk yang sama atau dalam produk yang formulasinya membenarkannya. Penggunaannya direkodkan (kuantiti, kelompok asal dan kelompok penerima) supaya boleh dikesan.</t>
        </is>
      </c>
      <c r="C157" s="7" t="inlineStr">
        <is>
          <t>MHMS 5(9); MPPHM 17(2)(d)</t>
        </is>
      </c>
      <c r="D157" s="7" t="inlineStr"/>
      <c r="E157" s="7" t="inlineStr"/>
      <c r="F157" t="inlineStr">
        <is>
          <t>G</t>
        </is>
      </c>
    </row>
    <row r="158">
      <c r="A158" s="7" t="inlineStr">
        <is>
          <t>G11</t>
        </is>
      </c>
      <c r="B158" s="7" t="inlineStr">
        <is>
          <t>Produk reject dan sisa pengeluaran di lantai kilang dikenal pasti, diasingkan dan dikawal sehingga dilupuskan, dan tidak dicampur semula ke dalam produk tanpa kelulusan.</t>
        </is>
      </c>
      <c r="C158" s="7" t="inlineStr">
        <is>
          <t>MPPHM 17(4)(b); MHMS 5(6)</t>
        </is>
      </c>
      <c r="D158" s="7" t="inlineStr"/>
      <c r="E158" s="7" t="inlineStr"/>
      <c r="F158" t="inlineStr">
        <is>
          <t>G</t>
        </is>
      </c>
    </row>
    <row r="159">
      <c r="A159" s="7" t="inlineStr">
        <is>
          <t>G12</t>
        </is>
      </c>
      <c r="B159" s="7" t="inlineStr">
        <is>
          <t>R&amp;D: bahan dan sampel R&amp;D (termasuk sampel percuma daripada pembekal) disenaraikan dalam Senarai Utama atau rekod R&amp;D, dan status halal setiap bahan disahkan sebelum ujian percubaan. Produk percubaan tidak dijual tanpa kelulusan.</t>
        </is>
      </c>
      <c r="C159" s="7" t="inlineStr">
        <is>
          <t>MHMS 5(3), 5(7)</t>
        </is>
      </c>
      <c r="D159" s="7" t="inlineStr"/>
      <c r="E159" s="7" t="inlineStr"/>
      <c r="F159" t="inlineStr">
        <is>
          <t>G</t>
        </is>
      </c>
    </row>
    <row r="160">
      <c r="A160" s="7" t="inlineStr">
        <is>
          <t>G13</t>
        </is>
      </c>
      <c r="B160" s="7" t="inlineStr">
        <is>
          <t>Makmal QC/R&amp;D: bahan kimia, media dan reagen disimpan berasingan daripada bahan pengeluaran, dilabel dan dikawal, dan sumber media yang bersumberkan haiwan dikenal pasti.</t>
        </is>
      </c>
      <c r="C160" s="7" t="inlineStr">
        <is>
          <t>MPPHM 17(3)(g), 17(4)(b)</t>
        </is>
      </c>
      <c r="D160" s="7" t="inlineStr"/>
      <c r="E160" s="7" t="inlineStr"/>
      <c r="F160" t="inlineStr">
        <is>
          <t>G</t>
        </is>
      </c>
    </row>
    <row r="161">
      <c r="A161" s="7" t="inlineStr">
        <is>
          <t>G14</t>
        </is>
      </c>
      <c r="B161" s="7" t="inlineStr">
        <is>
          <t>Makanan tidak bersentuhan terus dengan bahan yang boleh mencemarkannya (cth. kertas bercetak, guni kotor atau plastik bukan gred makanan).</t>
        </is>
      </c>
      <c r="C161" s="7" t="inlineStr">
        <is>
          <t>PKM per. 35(1)(a)</t>
        </is>
      </c>
      <c r="D161" s="7" t="inlineStr"/>
      <c r="E161" s="7" t="inlineStr"/>
      <c r="F161" t="inlineStr">
        <is>
          <t>G</t>
        </is>
      </c>
    </row>
    <row r="162">
      <c r="A162" s="7" t="inlineStr">
        <is>
          <t>G15</t>
        </is>
      </c>
      <c r="B162" s="7" t="inlineStr">
        <is>
          <t>Penyediaan dan pembungkusan bebas daripada pencemaran: makanan yang tidak berbalut tidak dikendalikan dengan tangan kosong, dan beg atau pembalut tidak dibuka dengan cara meniup.</t>
        </is>
      </c>
      <c r="C162" s="7" t="inlineStr">
        <is>
          <t>PKM per. 36(1)(a), 36(1)(e), 36(1)(g)</t>
        </is>
      </c>
      <c r="D162" s="7" t="inlineStr"/>
      <c r="E162" s="7" t="inlineStr"/>
      <c r="F162" t="inlineStr">
        <is>
          <t>G</t>
        </is>
      </c>
    </row>
    <row r="163">
      <c r="A163" s="7" t="inlineStr">
        <is>
          <t>G16</t>
        </is>
      </c>
      <c r="B163" s="7" t="inlineStr">
        <is>
          <t>Makanan yang tidak berbalut tidak diletakkan, dibawa atau disimpan dengan cara yang menyebabkan bekas, dulang atau pinggan lain menyentuh makanan itu (cth. dulang bertindih).</t>
        </is>
      </c>
      <c r="C163" s="7" t="inlineStr">
        <is>
          <t>PKM per. 36(1)(i)</t>
        </is>
      </c>
      <c r="D163" s="7" t="inlineStr"/>
      <c r="E163" s="7" t="inlineStr"/>
      <c r="F163" t="inlineStr">
        <is>
          <t>G</t>
        </is>
      </c>
    </row>
    <row r="164">
      <c r="A164" s="7" t="inlineStr">
        <is>
          <t>G17</t>
        </is>
      </c>
      <c r="B164" s="7" t="inlineStr">
        <is>
          <t>Bahan mentah, produk separa siap dan produk siap tidak dibiarkan pada suhu yang menggalakkan pertumbuhan patogen, dan rantaian sejuk tidak terputus semasa pemprosesan.</t>
        </is>
      </c>
      <c r="C164" s="7" t="inlineStr">
        <is>
          <t>PKM per. 36(1)(k), 36(1)(l)</t>
        </is>
      </c>
      <c r="D164" s="7" t="inlineStr"/>
      <c r="E164" s="7" t="inlineStr"/>
      <c r="F164" t="inlineStr">
        <is>
          <t>G</t>
        </is>
      </c>
    </row>
    <row r="165">
      <c r="A165" s="7" t="inlineStr">
        <is>
          <t>G18</t>
        </is>
      </c>
      <c r="B165" s="7" t="inlineStr">
        <is>
          <t>Produk yang perlu disejukkan selepas dimasak disejukkan secepat mungkin, dan penyahbekuan dibuat dengan cara yang meminimumkan risiko pertumbuhan patogen.</t>
        </is>
      </c>
      <c r="C165" s="7" t="inlineStr">
        <is>
          <t>PKM per. 36(1)(n), 36(1)(o)</t>
        </is>
      </c>
      <c r="D165" s="7" t="inlineStr"/>
      <c r="E165" s="7" t="inlineStr"/>
      <c r="F165" t="inlineStr">
        <is>
          <t>G</t>
        </is>
      </c>
    </row>
    <row r="166">
      <c r="A166" s="7" t="inlineStr">
        <is>
          <t>G19</t>
        </is>
      </c>
      <c r="B166" s="7" t="inlineStr">
        <is>
          <t>Pengeluar makanan sejuk beku (jika berkaitan): makanan untuk jualan runcit secara sejuk beku yang telah dinyahbeku (cth. selepas kerosakan bilik sejuk atau gangguan rantaian sejuk) tidak dibekukan semula, dan produk itu diasingkan serta direkodkan.</t>
        </is>
      </c>
      <c r="C166" s="7" t="inlineStr">
        <is>
          <t>PKM per. 35(5)</t>
        </is>
      </c>
      <c r="D166" s="7" t="inlineStr"/>
      <c r="E166" s="7" t="inlineStr"/>
      <c r="F166" t="inlineStr">
        <is>
          <t>G</t>
        </is>
      </c>
    </row>
    <row r="167">
      <c r="A167" s="7" t="inlineStr">
        <is>
          <t>G20</t>
        </is>
      </c>
      <c r="B167" s="7" t="inlineStr">
        <is>
          <t>Pemproses daging (jika berkaitan): kawasan dan peralatan memotong, menyahtulang atau memproses daging segar dikhaskan untuk tujuan itu dan dikekalkan di bawah 15°C semasa penyediaan. Ia dibersih dan dinyahkuman sebelum dan selepas setiap hari bekerja, dan peralatannya licin, mudah dibersihkan dan tahan kakisan.</t>
        </is>
      </c>
      <c r="C167" s="7" t="inlineStr">
        <is>
          <t>PKM per. 39(1)(a), 39(1)(b), 39(2)</t>
        </is>
      </c>
      <c r="D167" s="7" t="inlineStr"/>
      <c r="E167" s="7" t="inlineStr"/>
      <c r="F167" t="inlineStr">
        <is>
          <t>G</t>
        </is>
      </c>
    </row>
    <row r="168">
      <c r="A168" s="7" t="inlineStr">
        <is>
          <t>G21</t>
        </is>
      </c>
      <c r="B168" s="7" t="inlineStr">
        <is>
          <t>Pemproses ikan (jika berkaitan): penyiangan dan pemotongan dibuat secara bersih dengan air terawat. Hirisan tidak dibiarkan di meja kerja lebih lama daripada perlu dan dibungkus serta disejukkan dengan segera, dan air cair ais tidak bersentuhan dengan ikan.</t>
        </is>
      </c>
      <c r="C168" s="7" t="inlineStr">
        <is>
          <t>PKM per. 43(1)</t>
        </is>
      </c>
      <c r="D168" s="7" t="inlineStr"/>
      <c r="E168" s="7" t="inlineStr"/>
      <c r="F168" t="inlineStr">
        <is>
          <t>G</t>
        </is>
      </c>
    </row>
    <row r="169">
      <c r="A169" s="7" t="inlineStr">
        <is>
          <t>G22</t>
        </is>
      </c>
      <c r="B169" s="7" t="inlineStr">
        <is>
          <t>Pemproses krustasea atau moluska (jika berkaitan): produk disejukkan dengan segera selepas dimasak menggunakan air terawat, dikupas secara bersih, kemudian dibekukan atau disejukkan dengan segera.</t>
        </is>
      </c>
      <c r="C169" s="7" t="inlineStr">
        <is>
          <t>PKM per. 44(1)</t>
        </is>
      </c>
      <c r="D169" s="7" t="inlineStr"/>
      <c r="E169" s="7" t="inlineStr"/>
      <c r="F169" t="inlineStr">
        <is>
          <t>G</t>
        </is>
      </c>
    </row>
    <row r="170">
      <c r="A170" s="7" t="inlineStr">
        <is>
          <t>G23</t>
        </is>
      </c>
      <c r="B170" s="7" t="inlineStr">
        <is>
          <t>Kilang aiskrim (jika berkaitan): peti beku permukaan terbuka diletakkan di bilik kalis habuk dan dipasang pelindung yang ketat.</t>
        </is>
      </c>
      <c r="C170" s="7" t="inlineStr">
        <is>
          <t>PKM per. 48(1)</t>
        </is>
      </c>
      <c r="D170" s="7" t="inlineStr"/>
      <c r="E170" s="7" t="inlineStr"/>
      <c r="F170" t="inlineStr">
        <is>
          <t>G</t>
        </is>
      </c>
    </row>
    <row r="171">
      <c r="A171" s="7" t="inlineStr">
        <is>
          <t>G24</t>
        </is>
      </c>
      <c r="B171" s="7" t="inlineStr">
        <is>
          <t>Pemproses susu (jika berkaitan): selepas diterima, susu disejukkan secepat mungkin ke suhu tidak melebihi 6°C dan dikekalkan pada suhu itu sehingga diproses. Pengecualian: pemprosesan bermula dalam 4 jam selepas susu diterima, atau suhu lebih tinggi dibenarkan atas sebab teknologi.</t>
        </is>
      </c>
      <c r="C171" s="7" t="inlineStr">
        <is>
          <t>PKM per. 50</t>
        </is>
      </c>
      <c r="D171" s="7" t="inlineStr"/>
      <c r="E171" s="7" t="inlineStr"/>
      <c r="F171" t="inlineStr">
        <is>
          <t>G</t>
        </is>
      </c>
    </row>
    <row r="172">
      <c r="A172" s="4" t="inlineStr">
        <is>
          <t>Bahagian H: Peralatan, Mesin &amp; Pelincir</t>
        </is>
      </c>
      <c r="B172" s="5" t="n"/>
      <c r="C172" s="5" t="n"/>
      <c r="D172" s="5" t="n"/>
      <c r="E172" s="6" t="n"/>
    </row>
    <row r="173" ht="26" customHeight="1">
      <c r="A173" s="2" t="inlineStr">
        <is>
          <t>Periksa mesin, perkakas, bekas dan bahan guna habis yang bersentuhan dengan produk, stor alat ganti dan pelincir, serta rekod pembersihan, penyelenggaraan dan tentukuran.</t>
        </is>
      </c>
    </row>
    <row r="174">
      <c r="A174" s="7" t="inlineStr">
        <is>
          <t>H1</t>
        </is>
      </c>
      <c r="B174" s="7" t="inlineStr">
        <is>
          <t>Peralatan dan perkakas digunakan untuk memproses dan mengendalikan bahan halal sahaja.</t>
        </is>
      </c>
      <c r="C174" s="7" t="inlineStr">
        <is>
          <t>MPPHM 17(5)(a); MS 1500 kl. 4.3*</t>
        </is>
      </c>
      <c r="D174" s="7" t="inlineStr"/>
      <c r="E174" s="7" t="inlineStr"/>
      <c r="F174" t="inlineStr">
        <is>
          <t>H</t>
        </is>
      </c>
    </row>
    <row r="175">
      <c r="A175" s="7" t="inlineStr">
        <is>
          <t>H2</t>
        </is>
      </c>
      <c r="B175" s="7" t="inlineStr">
        <is>
          <t>Peralatan terpakai (dibeli terpakai, dipindahkan dari kilang lain atau disewa) disahkan tidak pernah digunakan untuk produk tidak halal, atau telah disertu sebelum digunakan, dengan rekod.</t>
        </is>
      </c>
      <c r="C175" s="7" t="inlineStr">
        <is>
          <t>MPPHM 17(5)(h); MS 1500 kl. 4.3*, Lampiran A*</t>
        </is>
      </c>
      <c r="D175" s="7" t="inlineStr"/>
      <c r="E175" s="7" t="inlineStr"/>
      <c r="F175" t="inlineStr">
        <is>
          <t>H</t>
        </is>
      </c>
    </row>
    <row r="176">
      <c r="A176" s="7" t="inlineStr">
        <is>
          <t>H3</t>
        </is>
      </c>
      <c r="B176" s="7" t="inlineStr">
        <is>
          <t>Tiada peralatan atau perkakas yang berlabel produk arak atau berimplikasi negatif.</t>
        </is>
      </c>
      <c r="C176" s="7" t="inlineStr">
        <is>
          <t>MPPHM 17(5)(b)</t>
        </is>
      </c>
      <c r="D176" s="7" t="inlineStr"/>
      <c r="E176" s="7" t="inlineStr"/>
      <c r="F176" t="inlineStr">
        <is>
          <t>H</t>
        </is>
      </c>
    </row>
    <row r="177">
      <c r="A177" s="7" t="inlineStr">
        <is>
          <t>H4</t>
        </is>
      </c>
      <c r="B177" s="7" t="inlineStr">
        <is>
          <t>Peralatan dan perkakas daripada sumber haiwan (cth. berus bulu, penapis berasaskan arang tulang, bekas atau acuan daripada tulang) hanya digunakan jika status halalnya telah dikenal pasti.</t>
        </is>
      </c>
      <c r="C177" s="7" t="inlineStr">
        <is>
          <t>MPPHM 17(5)(c); MS 1500 kl. 4.3*</t>
        </is>
      </c>
      <c r="D177" s="7" t="inlineStr"/>
      <c r="E177" s="7" t="inlineStr"/>
      <c r="F177" t="inlineStr">
        <is>
          <t>H</t>
        </is>
      </c>
    </row>
    <row r="178">
      <c r="A178" s="7" t="inlineStr">
        <is>
          <t>H5</t>
        </is>
      </c>
      <c r="B178" s="7" t="inlineStr">
        <is>
          <t>Peralatan dan bekas dalam keadaan baik, bersih, bebas najis, tidak toksik dan tidak berkarat, tidak memindahkan bahan beracun atau pencemar kepada makanan, dan dipasang supaya mudah dibersihkan. Bahagian yang bersentuhan dengan makanan lembap atau berisiko tinggi licin, tidak telap dan tidak rosak.</t>
        </is>
      </c>
      <c r="C178" s="7" t="inlineStr">
        <is>
          <t>MPPHM 17(5)(d); PKM per. 35(1)(b), 35(1)(c), 35(1)(d), 35(1)(e)</t>
        </is>
      </c>
      <c r="D178" s="7" t="inlineStr"/>
      <c r="E178" s="7" t="inlineStr"/>
      <c r="F178" t="inlineStr">
        <is>
          <t>H</t>
        </is>
      </c>
    </row>
    <row r="179">
      <c r="A179" s="7" t="inlineStr">
        <is>
          <t>H6</t>
        </is>
      </c>
      <c r="B179" s="7" t="inlineStr">
        <is>
          <t>Peralatan yang digunakan untuk bahan mentah dibersih dan disanitasi sebelum digunakan untuk produk masak atau siap. Papan pemotong berasingan digunakan bagi bahan mentah dan bahan masak, dan papan itu tidak rosak serta mudah dialihkan.</t>
        </is>
      </c>
      <c r="C179" s="7" t="inlineStr">
        <is>
          <t>PKM per. 35(1)(f), 35(1)(g), 35(1)(h)</t>
        </is>
      </c>
      <c r="D179" s="7" t="inlineStr"/>
      <c r="E179" s="7" t="inlineStr"/>
      <c r="F179" t="inlineStr">
        <is>
          <t>H</t>
        </is>
      </c>
    </row>
    <row r="180">
      <c r="A180" s="7" t="inlineStr">
        <is>
          <t>H7</t>
        </is>
      </c>
      <c r="B180" s="7" t="inlineStr">
        <is>
          <t>Bahan pencuci dan disinfektan dibilas sepenuhnya daripada permukaan sentuhan makanan, dan tiada bahan toksik yang boleh mencemarkan makanan digunakan.</t>
        </is>
      </c>
      <c r="C180" s="7" t="inlineStr">
        <is>
          <t>PKM per. 35(1)(i), 35(3)</t>
        </is>
      </c>
      <c r="D180" s="7" t="inlineStr"/>
      <c r="E180" s="7" t="inlineStr"/>
      <c r="F180" t="inlineStr">
        <is>
          <t>H</t>
        </is>
      </c>
    </row>
    <row r="181">
      <c r="A181" s="7" t="inlineStr">
        <is>
          <t>H8</t>
        </is>
      </c>
      <c r="B181" s="7" t="inlineStr">
        <is>
          <t>Bahan kimia anti-karat yang digunakan pada peralatan dan bekas digunakan mengikut amalan baik, dan tidak mencemarkan produk.</t>
        </is>
      </c>
      <c r="C181" s="7" t="inlineStr">
        <is>
          <t>PKM per. 35(4)</t>
        </is>
      </c>
      <c r="D181" s="7" t="inlineStr"/>
      <c r="E181" s="7" t="inlineStr"/>
      <c r="F181" t="inlineStr">
        <is>
          <t>H</t>
        </is>
      </c>
    </row>
    <row r="182">
      <c r="A182" s="7" t="inlineStr">
        <is>
          <t>H9</t>
        </is>
      </c>
      <c r="B182" s="7" t="inlineStr">
        <is>
          <t>Prosedur dan jadual pembersihan serta penyelenggaraan berkala peralatan dilaksanakan dan direkodkan.</t>
        </is>
      </c>
      <c r="C182" s="7" t="inlineStr">
        <is>
          <t>MPPHM 17(5)(e); PKM per. 11(1)(d)</t>
        </is>
      </c>
      <c r="D182" s="7" t="inlineStr"/>
      <c r="E182" s="7" t="inlineStr"/>
      <c r="F182" t="inlineStr">
        <is>
          <t>H</t>
        </is>
      </c>
    </row>
    <row r="183">
      <c r="A183" s="7" t="inlineStr">
        <is>
          <t>H10</t>
        </is>
      </c>
      <c r="B183" s="7" t="inlineStr">
        <is>
          <t>Alat timbang dan sukat (penimbang bahan, penimbang produk, meter pengisian) ditentukur dan diselenggara secara berkala, dengan rekod.</t>
        </is>
      </c>
      <c r="C183" s="7" t="inlineStr">
        <is>
          <t>MPPHM 17(5)(e)</t>
        </is>
      </c>
      <c r="D183" s="7" t="inlineStr"/>
      <c r="E183" s="7" t="inlineStr"/>
      <c r="F183" t="inlineStr">
        <is>
          <t>H</t>
        </is>
      </c>
    </row>
    <row r="184">
      <c r="A184" s="7" t="inlineStr">
        <is>
          <t>H11</t>
        </is>
      </c>
      <c r="B184" s="7" t="inlineStr">
        <is>
          <t>Peralatan yang rosak atau tidak digunakan dikenal pasti, dan dikeluarkan atau diasingkan. Peralatan yang rosak dibuang dari premis.</t>
        </is>
      </c>
      <c r="C184" s="7" t="inlineStr">
        <is>
          <t>MPPHM 17(5)(f); PKM per. 35(2)</t>
        </is>
      </c>
      <c r="D184" s="7" t="inlineStr"/>
      <c r="E184" s="7" t="inlineStr"/>
      <c r="F184" t="inlineStr">
        <is>
          <t>H</t>
        </is>
      </c>
    </row>
    <row r="185">
      <c r="A185" s="7" t="inlineStr">
        <is>
          <t>H12</t>
        </is>
      </c>
      <c r="B185" s="7" t="inlineStr">
        <is>
          <t>Peralatan sesuai dengan tujuannya dan mematuhi perundangan (cth. bekas seramik atau PVC yang bersentuhan dengan makanan mematuhi PM 1985).</t>
        </is>
      </c>
      <c r="C185" s="7" t="inlineStr">
        <is>
          <t>MPPHM 17(5)(g); PM 1985 per. 27, 28, 29</t>
        </is>
      </c>
      <c r="D185" s="7" t="inlineStr"/>
      <c r="E185" s="7" t="inlineStr"/>
      <c r="F185" t="inlineStr">
        <is>
          <t>H</t>
        </is>
      </c>
    </row>
    <row r="186">
      <c r="A186" s="7" t="inlineStr">
        <is>
          <t>H13</t>
        </is>
      </c>
      <c r="B186" s="7" t="inlineStr">
        <is>
          <t>Daftar pelincir disediakan. Ia menyenaraikan semua pelincir, gris, minyak hidraulik dan agen pelepas yang digunakan di titik yang mungkin bersentuhan secara bersampingan dengan produk, bersama bukti gred makanan (cth. pensijilan mengikut MS ISO 21469 atau pendaftaran H1).</t>
        </is>
      </c>
      <c r="C186" s="7" t="inlineStr">
        <is>
          <t>MS ISO 21469; MS 1500 kl. 4.3*</t>
        </is>
      </c>
      <c r="D186" s="7" t="inlineStr"/>
      <c r="E186" s="7" t="inlineStr"/>
      <c r="F186" t="inlineStr">
        <is>
          <t>H</t>
        </is>
      </c>
    </row>
    <row r="187">
      <c r="A187" s="7" t="inlineStr">
        <is>
          <t>H14</t>
        </is>
      </c>
      <c r="B187" s="7" t="inlineStr">
        <is>
          <t>Setiap pelincir gred makanan yang mungkin bersentuhan dengan produk mempunyai sijil halal atau pengesahan status halal (tiada lemak babi atau bahan haiwan yang tidak halal).</t>
        </is>
      </c>
      <c r="C187" s="7" t="inlineStr">
        <is>
          <t>MS 1500 kl. 4.3*; MPPHM 17(1)(d); MHMS 5(7)</t>
        </is>
      </c>
      <c r="D187" s="7" t="inlineStr"/>
      <c r="E187" s="7" t="inlineStr"/>
      <c r="F187" t="inlineStr">
        <is>
          <t>H</t>
        </is>
      </c>
    </row>
    <row r="188">
      <c r="A188" s="7" t="inlineStr">
        <is>
          <t>H15</t>
        </is>
      </c>
      <c r="B188" s="7" t="inlineStr">
        <is>
          <t>Pelincir gred makanan dan bukan gred makanan dilabel dan disimpan berasingan, dan pelincir bukan gred makanan tidak digunakan di titik yang boleh bersentuhan dengan produk.</t>
        </is>
      </c>
      <c r="C188" s="7" t="inlineStr">
        <is>
          <t>MS ISO 21469; MPPHM 17(3)(g), 17(5)(e)</t>
        </is>
      </c>
      <c r="D188" s="7" t="inlineStr"/>
      <c r="E188" s="7" t="inlineStr"/>
      <c r="F188" t="inlineStr">
        <is>
          <t>H</t>
        </is>
      </c>
    </row>
    <row r="189">
      <c r="A189" s="7" t="inlineStr">
        <is>
          <t>H16</t>
        </is>
      </c>
      <c r="B189" s="7" t="inlineStr">
        <is>
          <t>Sumber dan status halal bahan guna habis yang bersentuhan dengan produk (cth. sarung tangan, pembalut, kertas pembakar, kain atau jaring penapis) diketahui dan disahkan.</t>
        </is>
      </c>
      <c r="C189" s="7" t="inlineStr">
        <is>
          <t>MPPHM 17(5)(c); MS 1500 kl. 4.3*</t>
        </is>
      </c>
      <c r="D189" s="7" t="inlineStr"/>
      <c r="E189" s="7" t="inlineStr"/>
      <c r="F189" t="inlineStr">
        <is>
          <t>H</t>
        </is>
      </c>
    </row>
    <row r="190">
      <c r="A190" s="7" t="inlineStr">
        <is>
          <t>H17</t>
        </is>
      </c>
      <c r="B190" s="7" t="inlineStr">
        <is>
          <t>Peralatan dan perkakas yang tercemar najis mughallazah disertu mengikut kaedah yang ditetapkan, dan rekod sertu disimpan.</t>
        </is>
      </c>
      <c r="C190" s="7" t="inlineStr">
        <is>
          <t>MPPHM 17(5)(h); MHMS 5(12); MS 1500 Lampiran A*; Perintah Takrif Halal 2011 perenggan 3(1)(f)</t>
        </is>
      </c>
      <c r="D190" s="7" t="inlineStr"/>
      <c r="E190" s="7" t="inlineStr"/>
      <c r="F190" t="inlineStr">
        <is>
          <t>H</t>
        </is>
      </c>
    </row>
    <row r="191">
      <c r="A191" s="4" t="inlineStr">
        <is>
          <t>Bahagian I: Kebersihan, Sanitasi, Kawalan Perosak &amp; Sisa</t>
        </is>
      </c>
      <c r="B191" s="5" t="n"/>
      <c r="C191" s="5" t="n"/>
      <c r="D191" s="5" t="n"/>
      <c r="E191" s="6" t="n"/>
    </row>
    <row r="192" ht="26" customHeight="1">
      <c r="A192" s="2" t="inlineStr">
        <is>
          <t>Periksa tahap kebersihan keseluruhan, kemudahan basuh tangan, tandas, tong sampah, kawasan sisa dan rawatan efluen, serta bahan pencuci yang digunakan, dan semak rekod pembersihan dan kawalan perosak.</t>
        </is>
      </c>
    </row>
    <row r="193">
      <c r="A193" s="7" t="inlineStr">
        <is>
          <t>I1</t>
        </is>
      </c>
      <c r="B193" s="7" t="inlineStr">
        <is>
          <t>Kawasan pemprosesan sentiasa bersih dan teratur. Pembersihan dibuat mengikut jadual, sekurang-kurangnya sekali sehari, dan direkodkan.</t>
        </is>
      </c>
      <c r="C193" s="7" t="inlineStr">
        <is>
          <t>MPPHM 17(10)(a), 17(3)(f); PKM per. 15(3), 11(1)(d)</t>
        </is>
      </c>
      <c r="D193" s="7" t="inlineStr"/>
      <c r="E193" s="7" t="inlineStr"/>
      <c r="F193" t="inlineStr">
        <is>
          <t>I</t>
        </is>
      </c>
    </row>
    <row r="194">
      <c r="A194" s="7" t="inlineStr">
        <is>
          <t>I2</t>
        </is>
      </c>
      <c r="B194" s="7" t="inlineStr">
        <is>
          <t>Kemudahan untuk membersih, menyahkuman dan menyimpan peralatan disediakan dengan air terawat panas dan sejuk, dan bahan pencuci, disinfektan serta alat pembersihan mencukupi.</t>
        </is>
      </c>
      <c r="C194" s="7" t="inlineStr">
        <is>
          <t>PKM per. 15(4), 15(5)</t>
        </is>
      </c>
      <c r="D194" s="7" t="inlineStr"/>
      <c r="E194" s="7" t="inlineStr"/>
      <c r="F194" t="inlineStr">
        <is>
          <t>I</t>
        </is>
      </c>
    </row>
    <row r="195">
      <c r="A195" s="7" t="inlineStr">
        <is>
          <t>I3</t>
        </is>
      </c>
      <c r="B195" s="7" t="inlineStr">
        <is>
          <t>Lantai tidak disapu, dan dinding atau siling tidak dibersihkan, semasa makanan sedang dikendalikan.</t>
        </is>
      </c>
      <c r="C195" s="7" t="inlineStr">
        <is>
          <t>PKM per. 35(1)(l)</t>
        </is>
      </c>
      <c r="D195" s="7" t="inlineStr"/>
      <c r="E195" s="7" t="inlineStr"/>
      <c r="F195" t="inlineStr">
        <is>
          <t>I</t>
        </is>
      </c>
    </row>
    <row r="196">
      <c r="A196" s="7" t="inlineStr">
        <is>
          <t>I4</t>
        </is>
      </c>
      <c r="B196" s="7" t="inlineStr">
        <is>
          <t>Status halal bahan pencuci dan sanitasi (sabun basuh tangan, bahan pencuci CIP, disinfektan, pembasmi kuman tangan) disahkan melalui sijil halal atau dokumen sokongan, dan bahan itu tidak mengandungi bahan najis atau derivatif babi.</t>
        </is>
      </c>
      <c r="C196" s="7" t="inlineStr">
        <is>
          <t>MS 1500 kl. 4.4*; MPPHM 17(1)(d)</t>
        </is>
      </c>
      <c r="D196" s="7" t="inlineStr"/>
      <c r="E196" s="7" t="inlineStr"/>
      <c r="F196" t="inlineStr">
        <is>
          <t>I</t>
        </is>
      </c>
    </row>
    <row r="197">
      <c r="A197" s="7" t="inlineStr">
        <is>
          <t>I5</t>
        </is>
      </c>
      <c r="B197" s="7" t="inlineStr">
        <is>
          <t>Kawalan makhluk perosak dibuat secara berkala oleh kontraktor luar atau secara dalaman, dan direkodkan (laporan rawatan, pelan umpan dan perangkap).</t>
        </is>
      </c>
      <c r="C197" s="7" t="inlineStr">
        <is>
          <t>MPPHM 17(10)(c)</t>
        </is>
      </c>
      <c r="D197" s="7" t="inlineStr"/>
      <c r="E197" s="7" t="inlineStr"/>
      <c r="F197" t="inlineStr">
        <is>
          <t>I</t>
        </is>
      </c>
    </row>
    <row r="198">
      <c r="A198" s="7" t="inlineStr">
        <is>
          <t>I6</t>
        </is>
      </c>
      <c r="B198" s="7" t="inlineStr">
        <is>
          <t>Tiada tanda kehadiran perosak. Jika ada, tindakan segera diambil untuk menghapuskannya dan mencegahnya daripada berulang.</t>
        </is>
      </c>
      <c r="C198" s="7" t="inlineStr">
        <is>
          <t>PKM per. 16(1), 16(2)</t>
        </is>
      </c>
      <c r="D198" s="7" t="inlineStr"/>
      <c r="E198" s="7" t="inlineStr"/>
      <c r="F198" t="inlineStr">
        <is>
          <t>I</t>
        </is>
      </c>
    </row>
    <row r="199">
      <c r="A199" s="7" t="inlineStr">
        <is>
          <t>I7</t>
        </is>
      </c>
      <c r="B199" s="7" t="inlineStr">
        <is>
          <t>Rawatan kawalan perosak (kimia, fizikal atau biologi) tidak menjejaskan keselamatan makanan, dan umpan yang digunakan di premis tidak mengandungi bahan daripada babi.</t>
        </is>
      </c>
      <c r="C199" s="7" t="inlineStr">
        <is>
          <t>PKM per. 16(3); MPPHM 17(8)(a)</t>
        </is>
      </c>
      <c r="D199" s="7" t="inlineStr"/>
      <c r="E199" s="7" t="inlineStr"/>
      <c r="F199" t="inlineStr">
        <is>
          <t>I</t>
        </is>
      </c>
    </row>
    <row r="200">
      <c r="A200" s="7" t="inlineStr">
        <is>
          <t>I8</t>
        </is>
      </c>
      <c r="B200" s="7" t="inlineStr">
        <is>
          <t>Sinki basuh tangan mencukupi dan diletakkan di lokasi yang sesuai, termasuk di pintu masuk kawasan pemprosesan. Sinki itu berfungsi, berasingan daripada sinki membasuh makanan, dan dilengkapi air mengalir, sabun cecair, tisu atau pengering tangan, serta pili yang tidak dikendalikan dengan tangan.</t>
        </is>
      </c>
      <c r="C200" s="7" t="inlineStr">
        <is>
          <t>MPPHM 17(10)(d); PKM per. 27(1), 27(2), 27(3)</t>
        </is>
      </c>
      <c r="D200" s="7" t="inlineStr"/>
      <c r="E200" s="7" t="inlineStr"/>
      <c r="F200" t="inlineStr">
        <is>
          <t>I</t>
        </is>
      </c>
    </row>
    <row r="201">
      <c r="A201" s="7" t="inlineStr">
        <is>
          <t>I9</t>
        </is>
      </c>
      <c r="B201" s="7" t="inlineStr">
        <is>
          <t>Notis yang mengingatkan pengendali makanan supaya membasuh tangan dipamerkan di tandas dan di sinki basuh tangan.</t>
        </is>
      </c>
      <c r="C201" s="7" t="inlineStr">
        <is>
          <t>PKM per. 8(1)(b)</t>
        </is>
      </c>
      <c r="D201" s="7" t="inlineStr"/>
      <c r="E201" s="7" t="inlineStr"/>
      <c r="F201" t="inlineStr">
        <is>
          <t>I</t>
        </is>
      </c>
    </row>
    <row r="202">
      <c r="A202" s="7" t="inlineStr">
        <is>
          <t>I10</t>
        </is>
      </c>
      <c r="B202" s="7" t="inlineStr">
        <is>
          <t>Tong sampah mencukupi, dalam keadaan baik dan bertutup (jenis injak kaki digalakkan), serta mudah dibersihkan dan dinyahkuman.</t>
        </is>
      </c>
      <c r="C202" s="7" t="inlineStr">
        <is>
          <t>MPPHM 17(10)(e); PKM per. 17(1)</t>
        </is>
      </c>
      <c r="D202" s="7" t="inlineStr"/>
      <c r="E202" s="7" t="inlineStr"/>
      <c r="F202" t="inlineStr">
        <is>
          <t>I</t>
        </is>
      </c>
    </row>
    <row r="203">
      <c r="A203" s="7" t="inlineStr">
        <is>
          <t>I11</t>
        </is>
      </c>
      <c r="B203" s="7" t="inlineStr">
        <is>
          <t>Sisa dialihkan secepat mungkin dan kemudahan menyimpan sisa mencukupi. Prosedur pelupusan sisa (termasuk produk reject, produk tamat tempoh dan buangan terjadual) diuruskan dengan teratur mengikut undang-undang, dan pelupusan direkodkan.</t>
        </is>
      </c>
      <c r="C203" s="7" t="inlineStr">
        <is>
          <t>MPPHM 17(10)(g); PKM per. 17(1), 17(2)</t>
        </is>
      </c>
      <c r="D203" s="7" t="inlineStr"/>
      <c r="E203" s="7" t="inlineStr"/>
      <c r="F203" t="inlineStr">
        <is>
          <t>I</t>
        </is>
      </c>
    </row>
    <row r="204">
      <c r="A204" s="7" t="inlineStr">
        <is>
          <t>I12</t>
        </is>
      </c>
      <c r="B204" s="7" t="inlineStr">
        <is>
          <t>Efluen atau air sisa kilang dirawat sebelum dilepaskan, dan rekod pemantauan menunjukkan ia memenuhi had parameter efluen yang terpakai di bawah undang-undang alam sekitar (jika berkaitan).</t>
        </is>
      </c>
      <c r="C204" s="7" t="inlineStr">
        <is>
          <t>MPPHM 17(10)(g)</t>
        </is>
      </c>
      <c r="D204" s="7" t="inlineStr"/>
      <c r="E204" s="7" t="inlineStr"/>
      <c r="F204" t="inlineStr">
        <is>
          <t>I</t>
        </is>
      </c>
    </row>
    <row r="205">
      <c r="A205" s="7" t="inlineStr">
        <is>
          <t>I13</t>
        </is>
      </c>
      <c r="B205" s="7" t="inlineStr">
        <is>
          <t>Tandas mencukupi, bersih, tidak berbau dan tidak rosak, serta dilengkapi air mengalir, tisu, sabun dalam dispenser dan pengering tangan. Tandas tidak terbuka secara langsung ke kawasan penyimpanan atau pemprosesan, dan prosedur pembersihannya dipatuhi.</t>
        </is>
      </c>
      <c r="C205" s="7" t="inlineStr">
        <is>
          <t>MPPHM 17(10)(f); PKM per. 28(1), 28(2)</t>
        </is>
      </c>
      <c r="D205" s="7" t="inlineStr"/>
      <c r="E205" s="7" t="inlineStr"/>
      <c r="F205" t="inlineStr">
        <is>
          <t>I</t>
        </is>
      </c>
    </row>
    <row r="206">
      <c r="A206" s="4" t="inlineStr">
        <is>
          <t>Bahagian J: Pekerja, Pengendali Makanan, Latihan &amp; Kemudahan</t>
        </is>
      </c>
      <c r="B206" s="5" t="n"/>
      <c r="C206" s="5" t="n"/>
      <c r="D206" s="5" t="n"/>
      <c r="E206" s="6" t="n"/>
    </row>
    <row r="207" ht="26" customHeight="1">
      <c r="A207" s="2" t="inlineStr">
        <is>
          <t>Semak senarai pekerja, jadual syif, surat lantikan serta rekod latihan dan kesihatan, perhatikan amalan pekerja di lantai kilang, dan periksa bilik persalinan, loker, ruang rehat, kantin dan bilik solat.</t>
        </is>
      </c>
    </row>
    <row r="208">
      <c r="A208" s="7" t="inlineStr">
        <is>
          <t>J1</t>
        </is>
      </c>
      <c r="B208" s="7" t="inlineStr">
        <is>
          <t>Besar/sederhana: sekurang-kurangnya 2 pekerja Muslim warganegara Malaysia berjawatan tetap dilantik dan bertugas di kawasan pemprosesan sepanjang tempoh operasi atau syif.</t>
        </is>
      </c>
      <c r="C208" s="7" t="inlineStr">
        <is>
          <t>MPPHM 18(1)(f), 17(9)(a)</t>
        </is>
      </c>
      <c r="D208" s="7" t="inlineStr"/>
      <c r="E208" s="7" t="inlineStr"/>
      <c r="F208" t="inlineStr">
        <is>
          <t>J</t>
        </is>
      </c>
    </row>
    <row r="209">
      <c r="A209" s="7" t="inlineStr">
        <is>
          <t>J2</t>
        </is>
      </c>
      <c r="B209" s="7" t="inlineStr">
        <is>
          <t>Kecil dan mikro: sekurang-kurangnya 1 pekerja Muslim warganegara Malaysia berjawatan tetap dilantik dan bertugas di kawasan pemprosesan sepanjang tempoh operasi atau syif.</t>
        </is>
      </c>
      <c r="C209" s="7" t="inlineStr">
        <is>
          <t>MPPHM 18(1)(f), 17(9)(a)</t>
        </is>
      </c>
      <c r="D209" s="7" t="inlineStr"/>
      <c r="E209" s="7" t="inlineStr"/>
      <c r="F209" t="inlineStr">
        <is>
          <t>J</t>
        </is>
      </c>
    </row>
    <row r="210">
      <c r="A210" s="7" t="inlineStr">
        <is>
          <t>J3</t>
        </is>
      </c>
      <c r="B210" s="7" t="inlineStr">
        <is>
          <t>Jadual syif dan rekod kehadiran menunjukkan pekerja Muslim yang ditetapkan berada di kawasan pemprosesan bagi setiap syif, termasuk syif malam dan hujung minggu. Surat lantikan tetap dan salinan MyKad mereka tersedia.</t>
        </is>
      </c>
      <c r="C210" s="7" t="inlineStr">
        <is>
          <t>MPPHM 18(1)(f)</t>
        </is>
      </c>
      <c r="D210" s="7" t="inlineStr"/>
      <c r="E210" s="7" t="inlineStr"/>
      <c r="F210" t="inlineStr">
        <is>
          <t>J</t>
        </is>
      </c>
    </row>
    <row r="211">
      <c r="A211" s="7" t="inlineStr">
        <is>
          <t>J4</t>
        </is>
      </c>
      <c r="B211" s="7" t="inlineStr">
        <is>
          <t>Setiap pengendali makanan memiliki Sijil Latihan Pengendali Makanan daripada institusi yang diiktiraf KKM.</t>
        </is>
      </c>
      <c r="C211" s="7" t="inlineStr">
        <is>
          <t>MPPHM 18(1)(b); PKM per. 30(1), 11(1)(b)</t>
        </is>
      </c>
      <c r="D211" s="7" t="inlineStr"/>
      <c r="E211" s="7" t="inlineStr"/>
      <c r="F211" t="inlineStr">
        <is>
          <t>J</t>
        </is>
      </c>
    </row>
    <row r="212">
      <c r="A212" s="7" t="inlineStr">
        <is>
          <t>J5</t>
        </is>
      </c>
      <c r="B212" s="7" t="inlineStr">
        <is>
          <t>Setiap pengendali makanan telah menjalani pemeriksaan perubatan dan menerima suntikan anti-tifoid yang masih sah daripada pengamal perubatan berdaftar.</t>
        </is>
      </c>
      <c r="C212" s="7" t="inlineStr">
        <is>
          <t>MPPHM 18(1)(c); PKM per. 31(1), 11(1)(b)</t>
        </is>
      </c>
      <c r="D212" s="7" t="inlineStr"/>
      <c r="E212" s="7" t="inlineStr"/>
      <c r="F212" t="inlineStr">
        <is>
          <t>J</t>
        </is>
      </c>
    </row>
    <row r="213">
      <c r="A213" s="7" t="inlineStr">
        <is>
          <t>J6</t>
        </is>
      </c>
      <c r="B213" s="7" t="inlineStr">
        <is>
          <t>Pengendali makanan yang menghidap atau membawa, atau disyaki menghidap atau membawa, penyakit bawaan makanan segera melaporkannya kepada pengurusan, dan tidak dibenarkan memasuki premis atau mengendalikan makanan sehingga disahkan sembuh dan layak bekerja oleh pengamal perubatan berdaftar.</t>
        </is>
      </c>
      <c r="C213" s="7" t="inlineStr">
        <is>
          <t>PKM per. 31(2)</t>
        </is>
      </c>
      <c r="D213" s="7" t="inlineStr"/>
      <c r="E213" s="7" t="inlineStr"/>
      <c r="F213" t="inlineStr">
        <is>
          <t>J</t>
        </is>
      </c>
    </row>
    <row r="214">
      <c r="A214" s="7" t="inlineStr">
        <is>
          <t>J7</t>
        </is>
      </c>
      <c r="B214" s="7" t="inlineStr">
        <is>
          <t>Kebersihan diri pekerja pada tahap yang baik: kuku pendek dan bersih, dan tangan dibasuh sebelum bekerja, selepas ke tandas dan selepas mengendalikan bahan mentah atau bahan tercemar.</t>
        </is>
      </c>
      <c r="C214" s="7" t="inlineStr">
        <is>
          <t>MPPHM 17(9)(b); PKM per. 33(1)</t>
        </is>
      </c>
      <c r="D214" s="7" t="inlineStr"/>
      <c r="E214" s="7" t="inlineStr"/>
      <c r="F214" t="inlineStr">
        <is>
          <t>J</t>
        </is>
      </c>
    </row>
    <row r="215">
      <c r="A215" s="7" t="inlineStr">
        <is>
          <t>J8</t>
        </is>
      </c>
      <c r="B215" s="7" t="inlineStr">
        <is>
          <t>Pengendali makanan mengelap tangan dengan tuala yang bersih atau bahan lain yang bersih dan sesuai, dan tidak menggunakan pakaian kerja atau apron untuk mengelap tangan.</t>
        </is>
      </c>
      <c r="C215" s="7" t="inlineStr">
        <is>
          <t>PKM per. 36(1)(h)</t>
        </is>
      </c>
      <c r="D215" s="7" t="inlineStr"/>
      <c r="E215" s="7" t="inlineStr"/>
      <c r="F215" t="inlineStr">
        <is>
          <t>J</t>
        </is>
      </c>
    </row>
    <row r="216">
      <c r="A216" s="7" t="inlineStr">
        <is>
          <t>J9</t>
        </is>
      </c>
      <c r="B216" s="7" t="inlineStr">
        <is>
          <t>Pakaian pekerja bersih, sopan dan sesuai, termasuk pakaian luar atau apron berwarna cerah, penutup kepala dan kasut. Pakaian kerja tidak dipakai ke luar premis, ditanggalkan sebelum ke tandas, dan disimpan dalam almari apabila tidak digunakan.</t>
        </is>
      </c>
      <c r="C216" s="7" t="inlineStr">
        <is>
          <t>MPPHM 17(9)(c); PKM per. 32(1), 32(2), 33(1)</t>
        </is>
      </c>
      <c r="D216" s="7" t="inlineStr"/>
      <c r="E216" s="7" t="inlineStr"/>
      <c r="F216" t="inlineStr">
        <is>
          <t>J</t>
        </is>
      </c>
    </row>
    <row r="217">
      <c r="A217" s="7" t="inlineStr">
        <is>
          <t>J10</t>
        </is>
      </c>
      <c r="B217" s="7" t="inlineStr">
        <is>
          <t>Kelengkapan pelindung diri yang sesuai (penutup kepala, sarung tangan, penutup muka, kaca mata keselamatan) dibekalkan kepada setiap pekerja dan dipakai mengikut tugas.</t>
        </is>
      </c>
      <c r="C217" s="7" t="inlineStr">
        <is>
          <t>MPPHM 17(9)(e)</t>
        </is>
      </c>
      <c r="D217" s="7" t="inlineStr"/>
      <c r="E217" s="7" t="inlineStr"/>
      <c r="F217" t="inlineStr">
        <is>
          <t>J</t>
        </is>
      </c>
    </row>
    <row r="218">
      <c r="A218" s="7" t="inlineStr">
        <is>
          <t>J11</t>
        </is>
      </c>
      <c r="B218" s="7" t="inlineStr">
        <is>
          <t>Barang peribadi, makanan dan minuman pekerja tidak dibawa masuk ke kawasan pemprosesan. Poket tidak mengandungi barang yang boleh mencemarkan produk, dan barang kemas, jam serta aksesori tidak dipakai.</t>
        </is>
      </c>
      <c r="C218" s="7" t="inlineStr">
        <is>
          <t>MPPHM 17(9)(d); PKM per. 33(1)</t>
        </is>
      </c>
      <c r="D218" s="7" t="inlineStr"/>
      <c r="E218" s="7" t="inlineStr"/>
      <c r="F218" t="inlineStr">
        <is>
          <t>J</t>
        </is>
      </c>
    </row>
    <row r="219">
      <c r="A219" s="7" t="inlineStr">
        <is>
          <t>J12</t>
        </is>
      </c>
      <c r="B219" s="7" t="inlineStr">
        <is>
          <t>Pekerja tidak merokok, meludah atau melakukan perbuatan yang boleh mencemarkan bahan dan produk.</t>
        </is>
      </c>
      <c r="C219" s="7" t="inlineStr">
        <is>
          <t>MPPHM 17(9)(f); PKM per. 33(1)</t>
        </is>
      </c>
      <c r="D219" s="7" t="inlineStr"/>
      <c r="E219" s="7" t="inlineStr"/>
      <c r="F219" t="inlineStr">
        <is>
          <t>J</t>
        </is>
      </c>
    </row>
    <row r="220">
      <c r="A220" s="7" t="inlineStr">
        <is>
          <t>J13</t>
        </is>
      </c>
      <c r="B220" s="7" t="inlineStr">
        <is>
          <t>Pelantikan dan pengambilan pekerja (termasuk pekerja asing dan pekerja agensi) mematuhi undang-undang, dan dokumen serta permit kerja mereka sah.</t>
        </is>
      </c>
      <c r="C220" s="7" t="inlineStr">
        <is>
          <t>MPPHM 17(9)(g)</t>
        </is>
      </c>
      <c r="D220" s="7" t="inlineStr"/>
      <c r="E220" s="7" t="inlineStr"/>
      <c r="F220" t="inlineStr">
        <is>
          <t>J</t>
        </is>
      </c>
    </row>
    <row r="221">
      <c r="A221" s="7" t="inlineStr">
        <is>
          <t>J14</t>
        </is>
      </c>
      <c r="B221" s="7" t="inlineStr">
        <is>
          <t>Kod etika pekerja dan Amalan Kebersihan Yang Baik (GHP) diterangkan kepada pekerja dan diamalkan.</t>
        </is>
      </c>
      <c r="C221" s="7" t="inlineStr">
        <is>
          <t>MPPHM 17(9)(h), 17(3)(e)</t>
        </is>
      </c>
      <c r="D221" s="7" t="inlineStr"/>
      <c r="E221" s="7" t="inlineStr"/>
      <c r="F221" t="inlineStr">
        <is>
          <t>J</t>
        </is>
      </c>
    </row>
    <row r="222">
      <c r="A222" s="7" t="inlineStr">
        <is>
          <t>J15</t>
        </is>
      </c>
      <c r="B222" s="7" t="inlineStr">
        <is>
          <t>Makanan di kantin, serta makanan yang dibawa oleh pekerja, kontraktor atau pelawat ke premis, bebas daripada bahan tidak halal, dan peraturan ini dimaklumkan secara bertulis.</t>
        </is>
      </c>
      <c r="C222" s="7" t="inlineStr">
        <is>
          <t>MPPHM 17(8)(a)</t>
        </is>
      </c>
      <c r="D222" s="7" t="inlineStr"/>
      <c r="E222" s="7" t="inlineStr"/>
      <c r="F222" t="inlineStr">
        <is>
          <t>J</t>
        </is>
      </c>
    </row>
    <row r="223">
      <c r="A223" s="7" t="inlineStr">
        <is>
          <t>J16</t>
        </is>
      </c>
      <c r="B223" s="7" t="inlineStr">
        <is>
          <t>Pekerja baharu menghadiri latihan kesedaran halal dalam tempoh 3 bulan dari tarikh lantikan.</t>
        </is>
      </c>
      <c r="C223" s="7" t="inlineStr">
        <is>
          <t>MPPHM 17(12)(a); MHMS 5(8) (Latihan Halal)</t>
        </is>
      </c>
      <c r="D223" s="7" t="inlineStr"/>
      <c r="E223" s="7" t="inlineStr"/>
      <c r="F223" t="inlineStr">
        <is>
          <t>J</t>
        </is>
      </c>
    </row>
    <row r="224">
      <c r="A224" s="7" t="inlineStr">
        <is>
          <t>J17</t>
        </is>
      </c>
      <c r="B224" s="7" t="inlineStr">
        <is>
          <t>Latihan kesedaran halal yang meliputi konsep halal dan prosedur Pensijilan Halal Malaysia diadakan sekurang-kurangnya sekali setiap 3 tahun bagi semua pekerja pemprosesan dan perkhidmatan. Latihan dikendalikan oleh organisasi atau individu yang berdaftar di bawah HPB JAKIM.</t>
        </is>
      </c>
      <c r="C224" s="7" t="inlineStr">
        <is>
          <t>MPPHM 17(12)(b), 17(12)(c)</t>
        </is>
      </c>
      <c r="D224" s="7" t="inlineStr"/>
      <c r="E224" s="7" t="inlineStr"/>
      <c r="F224" t="inlineStr">
        <is>
          <t>J</t>
        </is>
      </c>
    </row>
    <row r="225">
      <c r="A225" s="7" t="inlineStr">
        <is>
          <t>J18</t>
        </is>
      </c>
      <c r="B225" s="7" t="inlineStr">
        <is>
          <t>HAS (besar/sederhana): kefahaman pekerja dan keberkesanan latihan kesedaran halal dinilai (cth. ujian selepas latihan), dan rekod penilaian disimpan.</t>
        </is>
      </c>
      <c r="C225" s="7" t="inlineStr">
        <is>
          <t>MHMS 5(8) (Latihan Halal)</t>
        </is>
      </c>
      <c r="D225" s="7" t="inlineStr"/>
      <c r="E225" s="7" t="inlineStr"/>
      <c r="F225" t="inlineStr">
        <is>
          <t>J</t>
        </is>
      </c>
    </row>
    <row r="226">
      <c r="A226" s="7" t="inlineStr">
        <is>
          <t>J19</t>
        </is>
      </c>
      <c r="B226" s="7" t="inlineStr">
        <is>
          <t>HAS (besar/sederhana): semua ahli JKHD menghadiri latihan kompetensi halal sekurang-kurangnya sekali setiap 3 tahun, oleh Penyedia Latihan Halal yang berdaftar di bawah HPB JAKIM atau oleh pihak berkuasa berwibawa. Latihan meliputi Syariah, fatwa, MS, MPPHM, MHMS, perundangan halal dan bahan kritikal.</t>
        </is>
      </c>
      <c r="C226" s="7" t="inlineStr">
        <is>
          <t>MPPHM 17(12)(e), 17(12)(f); MHMS 5(8)</t>
        </is>
      </c>
      <c r="D226" s="7" t="inlineStr"/>
      <c r="E226" s="7" t="inlineStr"/>
      <c r="F226" t="inlineStr">
        <is>
          <t>J</t>
        </is>
      </c>
    </row>
    <row r="227">
      <c r="A227" s="7" t="inlineStr">
        <is>
          <t>J20</t>
        </is>
      </c>
      <c r="B227" s="7" t="inlineStr">
        <is>
          <t>Taklimat atau latihan kesedaran halal dipanjangkan kepada pihak ketiga yang berkaitan (pemilik jenama, pembekal, penyedia pengangkutan, kontraktor) apabila perlu. Pelawat diberi taklimat peraturan halal dan kebersihan sebelum memasuki kawasan pemprosesan.</t>
        </is>
      </c>
      <c r="C227" s="7" t="inlineStr">
        <is>
          <t>MPPHM 17(12)(d); MHMS 5(8)</t>
        </is>
      </c>
      <c r="D227" s="7" t="inlineStr"/>
      <c r="E227" s="7" t="inlineStr"/>
      <c r="F227" t="inlineStr">
        <is>
          <t>J</t>
        </is>
      </c>
    </row>
    <row r="228">
      <c r="A228" s="7" t="inlineStr">
        <is>
          <t>J21</t>
        </is>
      </c>
      <c r="B228" s="7" t="inlineStr">
        <is>
          <t>Dana dan prasarana latihan halal diperuntukkan oleh pengurusan, dan rekod latihan setiap pekerja disimpan, dikemas kini dan mudah dirujuk.</t>
        </is>
      </c>
      <c r="C228" s="7" t="inlineStr">
        <is>
          <t>MPPHM 17(12)(g), 17(12)(h)</t>
        </is>
      </c>
      <c r="D228" s="7" t="inlineStr"/>
      <c r="E228" s="7" t="inlineStr"/>
      <c r="F228" t="inlineStr">
        <is>
          <t>J</t>
        </is>
      </c>
    </row>
    <row r="229">
      <c r="A229" s="7" t="inlineStr">
        <is>
          <t>J22</t>
        </is>
      </c>
      <c r="B229" s="7" t="inlineStr">
        <is>
          <t>HAS (besar/sederhana): prosedur latihan halal dan pelan latihan (jenis latihan, peserta, kekerapan, cadangan tarikh, tenaga pengajar) disediakan, dan latihan dilaksanakan mengikut pelan.</t>
        </is>
      </c>
      <c r="C229" s="7" t="inlineStr">
        <is>
          <t>MHMS 5(8) (Latihan Halal)</t>
        </is>
      </c>
      <c r="D229" s="7" t="inlineStr"/>
      <c r="E229" s="7" t="inlineStr"/>
      <c r="F229" t="inlineStr">
        <is>
          <t>J</t>
        </is>
      </c>
    </row>
    <row r="230">
      <c r="A230" s="7" t="inlineStr">
        <is>
          <t>J23</t>
        </is>
      </c>
      <c r="B230" s="7" t="inlineStr">
        <is>
          <t>Bilik atau ruang solat untuk pekerja Muslim disediakan di lokasi yang munasabah, dengan keluasan yang sesuai, dan diselenggara dengan baik.</t>
        </is>
      </c>
      <c r="C230" s="7" t="inlineStr">
        <is>
          <t>MPPHM 17(11)(a)</t>
        </is>
      </c>
      <c r="D230" s="7" t="inlineStr"/>
      <c r="E230" s="7" t="inlineStr"/>
      <c r="F230" t="inlineStr">
        <is>
          <t>J</t>
        </is>
      </c>
    </row>
    <row r="231">
      <c r="A231" s="7" t="inlineStr">
        <is>
          <t>J24</t>
        </is>
      </c>
      <c r="B231" s="7" t="inlineStr">
        <is>
          <t>Pekerja Muslim, termasuk pekerja syif, diberi pelepasan dan masa yang sewajarnya untuk menunaikan solat fardu, termasuk solat Jumaat.</t>
        </is>
      </c>
      <c r="C231" s="7" t="inlineStr">
        <is>
          <t>MPPHM 17(11)(b)</t>
        </is>
      </c>
      <c r="D231" s="7" t="inlineStr"/>
      <c r="E231" s="7" t="inlineStr"/>
      <c r="F231" t="inlineStr">
        <is>
          <t>J</t>
        </is>
      </c>
    </row>
    <row r="232">
      <c r="A232" s="7" t="inlineStr">
        <is>
          <t>J25</t>
        </is>
      </c>
      <c r="B232" s="7" t="inlineStr">
        <is>
          <t>Bilik atau ruang persalinan disediakan untuk pekerja.</t>
        </is>
      </c>
      <c r="C232" s="7" t="inlineStr">
        <is>
          <t>MPPHM 17(11)(c); PKM per. 26</t>
        </is>
      </c>
      <c r="D232" s="7" t="inlineStr"/>
      <c r="E232" s="7" t="inlineStr"/>
      <c r="F232" t="inlineStr">
        <is>
          <t>J</t>
        </is>
      </c>
    </row>
    <row r="233">
      <c r="A233" s="7" t="inlineStr">
        <is>
          <t>J26</t>
        </is>
      </c>
      <c r="B233" s="7" t="inlineStr">
        <is>
          <t>Ruang makan atau rehat disediakan untuk pekerja.</t>
        </is>
      </c>
      <c r="C233" s="7" t="inlineStr">
        <is>
          <t>MPPHM 17(11)(d)</t>
        </is>
      </c>
      <c r="D233" s="7" t="inlineStr"/>
      <c r="E233" s="7" t="inlineStr"/>
      <c r="F233" t="inlineStr">
        <is>
          <t>J</t>
        </is>
      </c>
    </row>
    <row r="234">
      <c r="A234" s="7" t="inlineStr">
        <is>
          <t>J27</t>
        </is>
      </c>
      <c r="B234" s="7" t="inlineStr">
        <is>
          <t>Kemudahan menyimpan barang peribadi (loker) disediakan, dan loker bebas daripada bahan tidak halal.</t>
        </is>
      </c>
      <c r="C234" s="7" t="inlineStr">
        <is>
          <t>MPPHM 17(11)(e), 17(8)(a)</t>
        </is>
      </c>
      <c r="D234" s="7" t="inlineStr"/>
      <c r="E234" s="7" t="inlineStr"/>
      <c r="F234" t="inlineStr">
        <is>
          <t>J</t>
        </is>
      </c>
    </row>
    <row r="235">
      <c r="A235" s="4" t="inlineStr">
        <is>
          <t>Bahagian K: Pembungkusan, Pelabelan, Logo &amp; Sijil Halal</t>
        </is>
      </c>
      <c r="B235" s="5" t="n"/>
      <c r="C235" s="5" t="n"/>
      <c r="D235" s="5" t="n"/>
      <c r="E235" s="6" t="n"/>
    </row>
    <row r="236" ht="26" customHeight="1">
      <c r="A236" s="2" t="inlineStr">
        <is>
          <t>Periksa stor dan bahan pembungkusan, barisan pembungkusan dan pelabelan, sampel label setiap produk (termasuk label eksport), rekod kelulusan reka bentuk label, serta sijil halal yang dikeluarkan.</t>
        </is>
      </c>
    </row>
    <row r="237">
      <c r="A237" s="7" t="inlineStr">
        <is>
          <t>K1</t>
        </is>
      </c>
      <c r="B237" s="7" t="inlineStr">
        <is>
          <t>Bahan pembungkusan dan pelabelan disahkan halal, tidak mencemarkan produk dan selamat untuk kegunaan manusia, dengan spesifikasi atau dokumen pembekal (cth. bahan tambah plastik tidak berasal daripada lemak haiwan yang tidak halal).</t>
        </is>
      </c>
      <c r="C237" s="7" t="inlineStr">
        <is>
          <t>MPPHM 17(6)(a); MS 1500 kl. 4.7*</t>
        </is>
      </c>
      <c r="D237" s="7" t="inlineStr"/>
      <c r="E237" s="7" t="inlineStr"/>
      <c r="F237" t="inlineStr">
        <is>
          <t>K</t>
        </is>
      </c>
    </row>
    <row r="238">
      <c r="A238" s="7" t="inlineStr">
        <is>
          <t>K2</t>
        </is>
      </c>
      <c r="B238" s="7" t="inlineStr">
        <is>
          <t>Bungkusan tidak menghasilkan bahan toksik, tidak mencemarkan atau mencacatkan makanan, dan cukup kuat untuk melindungi produk daripada pencemaran dan kerosakan.</t>
        </is>
      </c>
      <c r="C238" s="7" t="inlineStr">
        <is>
          <t>PM 1985 per. 27; PKM per. 36(1)(b), 36(1)(c), 36(1)(d)</t>
        </is>
      </c>
      <c r="D238" s="7" t="inlineStr"/>
      <c r="E238" s="7" t="inlineStr"/>
      <c r="F238" t="inlineStr">
        <is>
          <t>K</t>
        </is>
      </c>
    </row>
    <row r="239">
      <c r="A239" s="7" t="inlineStr">
        <is>
          <t>K3</t>
        </is>
      </c>
      <c r="B239" s="7" t="inlineStr">
        <is>
          <t>Bekas PVC tegar atau separa tegar (jika digunakan) tidak melebihi had monomer vinil klorida (1 mg/kg dalam bungkusan dan 0.05 mg/kg dalam makanan).</t>
        </is>
      </c>
      <c r="C239" s="7" t="inlineStr">
        <is>
          <t>PM 1985 per. 29, 30</t>
        </is>
      </c>
      <c r="D239" s="7" t="inlineStr"/>
      <c r="E239" s="7" t="inlineStr"/>
      <c r="F239" t="inlineStr">
        <is>
          <t>K</t>
        </is>
      </c>
    </row>
    <row r="240">
      <c r="A240" s="7" t="inlineStr">
        <is>
          <t>K4</t>
        </is>
      </c>
      <c r="B240" s="7" t="inlineStr">
        <is>
          <t>Bekas atau bungkusan yang pernah digunakan atau dimaksudkan untuk produk bukan makanan tidak digunakan untuk makanan.</t>
        </is>
      </c>
      <c r="C240" s="7" t="inlineStr">
        <is>
          <t>PM 1985 per. 31</t>
        </is>
      </c>
      <c r="D240" s="7" t="inlineStr"/>
      <c r="E240" s="7" t="inlineStr"/>
      <c r="F240" t="inlineStr">
        <is>
          <t>K</t>
        </is>
      </c>
    </row>
    <row r="241">
      <c r="A241" s="7" t="inlineStr">
        <is>
          <t>K5</t>
        </is>
      </c>
      <c r="B241" s="7" t="inlineStr">
        <is>
          <t>Bungkusan terpakai tidak digunakan semula seperti yang dilarang: guni terpakai untuk gula, tepung atau mil; botol atau bekas logam terpakai untuk lemak atau minyak makan; bungkusan yang pernah digunakan atau dimaksudkan untuk produk asal babi untuk makanan bukan asal babi; botol plastik terpakai untuk makanan (kecuali makanan yang berbalut tambahan); dan botol minuman beralkohol atau shandi untuk makanan lain. Botol kaca, kotak atau guni hanya digunakan semula untuk makanan jenis sama seperti yang dibenarkan.</t>
        </is>
      </c>
      <c r="C241" s="7" t="inlineStr">
        <is>
          <t>PM 1985 per. 32, 33, 34</t>
        </is>
      </c>
      <c r="D241" s="7" t="inlineStr"/>
      <c r="E241" s="7" t="inlineStr"/>
      <c r="F241" t="inlineStr">
        <is>
          <t>K</t>
        </is>
      </c>
    </row>
    <row r="242">
      <c r="A242" s="7" t="inlineStr">
        <is>
          <t>K6</t>
        </is>
      </c>
      <c r="B242" s="7" t="inlineStr">
        <is>
          <t>Bahan atau produk dalam bungkusan yang rosak (kemik, herot, berlubang, berkarat atau bocor) tidak digunakan atau dijual.</t>
        </is>
      </c>
      <c r="C242" s="7" t="inlineStr">
        <is>
          <t>PM 1985 per. 35</t>
        </is>
      </c>
      <c r="D242" s="7" t="inlineStr"/>
      <c r="E242" s="7" t="inlineStr"/>
      <c r="F242" t="inlineStr">
        <is>
          <t>K</t>
        </is>
      </c>
    </row>
    <row r="243">
      <c r="A243" s="7" t="inlineStr">
        <is>
          <t>K7</t>
        </is>
      </c>
      <c r="B243" s="7" t="inlineStr">
        <is>
          <t>Tiada mainan, syiling atau barang lain dimasukkan ke dalam makanan atau bungkusan, kecuali yang dibenarkan. Sachet penyerap oksigen serbuk besi dilabel 'OXYGEN ABSORBER', 'DO NOT EAT CONTENTS' dan 'CONTAINS IRON POWDER'.</t>
        </is>
      </c>
      <c r="C243" s="7" t="inlineStr">
        <is>
          <t>PM 1985 per. 36, 36A</t>
        </is>
      </c>
      <c r="D243" s="7" t="inlineStr"/>
      <c r="E243" s="7" t="inlineStr"/>
      <c r="F243" t="inlineStr">
        <is>
          <t>K</t>
        </is>
      </c>
    </row>
    <row r="244">
      <c r="A244" s="7" t="inlineStr">
        <is>
          <t>K8</t>
        </is>
      </c>
      <c r="B244" s="7" t="inlineStr">
        <is>
          <t>Pembungkusan, label dan iklan tidak melanggar Hukum Syarak, tidak menonjolkan unsur tidak sopan, dan tidak memaparkan rajah atau ilustrasi haiwan najis mughallazah.</t>
        </is>
      </c>
      <c r="C244" s="7" t="inlineStr">
        <is>
          <t>MPPHM 17(6)(b), 17(6)(d)</t>
        </is>
      </c>
      <c r="D244" s="7" t="inlineStr"/>
      <c r="E244" s="7" t="inlineStr"/>
      <c r="F244" t="inlineStr">
        <is>
          <t>K</t>
        </is>
      </c>
    </row>
    <row r="245">
      <c r="A245" s="7" t="inlineStr">
        <is>
          <t>K9</t>
        </is>
      </c>
      <c r="B245" s="7" t="inlineStr">
        <is>
          <t>Label dan iklan tidak menggunakan pernyataan, lambang, istilah atau nama yang berunsur keagamaan dan ketuhanan (cth. nama Allah, ayat al-Quran).</t>
        </is>
      </c>
      <c r="C245" s="7" t="inlineStr">
        <is>
          <t>MPPHM 17(6)(c); Perintah Takrif Halal 2011 perenggan 4</t>
        </is>
      </c>
      <c r="D245" s="7" t="inlineStr"/>
      <c r="E245" s="7" t="inlineStr"/>
      <c r="F245" t="inlineStr">
        <is>
          <t>K</t>
        </is>
      </c>
    </row>
    <row r="246">
      <c r="A246" s="7" t="inlineStr">
        <is>
          <t>K10</t>
        </is>
      </c>
      <c r="B246" s="7" t="inlineStr">
        <is>
          <t>Nama produk pada label sama dengan nama yang diisytiharkan dalam MYeHALAL.</t>
        </is>
      </c>
      <c r="C246" s="7" t="inlineStr">
        <is>
          <t>MPPHM 17(6)(e), 17(2)(c)</t>
        </is>
      </c>
      <c r="D246" s="7" t="inlineStr"/>
      <c r="E246" s="7" t="inlineStr"/>
      <c r="F246" t="inlineStr">
        <is>
          <t>K</t>
        </is>
      </c>
    </row>
    <row r="247">
      <c r="A247" s="7" t="inlineStr">
        <is>
          <t>K11</t>
        </is>
      </c>
      <c r="B247" s="7" t="inlineStr">
        <is>
          <t>Label dicetak dengan terang dan jelas serta tidak mudah dipadam, dan butiran wajib dipaparkan secara menonjol dengan saiz huruf dan warna kontras yang ditetapkan.</t>
        </is>
      </c>
      <c r="C247" s="7" t="inlineStr">
        <is>
          <t>MPPHM 17(6)(f); PM 1985 per. 12, 13</t>
        </is>
      </c>
      <c r="D247" s="7" t="inlineStr"/>
      <c r="E247" s="7" t="inlineStr"/>
      <c r="F247" t="inlineStr">
        <is>
          <t>K</t>
        </is>
      </c>
    </row>
    <row r="248">
      <c r="A248" s="7" t="inlineStr">
        <is>
          <t>K12</t>
        </is>
      </c>
      <c r="B248" s="7" t="inlineStr">
        <is>
          <t>Produk yang diproses dan dibungkus di Malaysia dilabel dalam Bahasa Melayu (terjemahan dibenarkan).</t>
        </is>
      </c>
      <c r="C248" s="7" t="inlineStr">
        <is>
          <t>MPPHM 17(6)(i); PM 1985 per. 10</t>
        </is>
      </c>
      <c r="D248" s="7" t="inlineStr"/>
      <c r="E248" s="7" t="inlineStr"/>
      <c r="F248" t="inlineStr">
        <is>
          <t>K</t>
        </is>
      </c>
    </row>
    <row r="249">
      <c r="A249" s="7" t="inlineStr">
        <is>
          <t>K13</t>
        </is>
      </c>
      <c r="B249" s="7" t="inlineStr">
        <is>
          <t>Setiap label yang memaparkan Logo Halal Malaysia (termasuk label eksport) menunjukkan nama produk, nama dan alamat pemegang SPHM, serta Logo Halal Malaysia bersama nombor MS dan 10 angka terakhir nombor rujukan fail.</t>
        </is>
      </c>
      <c r="C249" s="7" t="inlineStr">
        <is>
          <t>MPPHM 17(6)(j)</t>
        </is>
      </c>
      <c r="D249" s="7" t="inlineStr"/>
      <c r="E249" s="7" t="inlineStr"/>
      <c r="F249" t="inlineStr">
        <is>
          <t>K</t>
        </is>
      </c>
    </row>
    <row r="250">
      <c r="A250" s="7" t="inlineStr">
        <is>
          <t>K14</t>
        </is>
      </c>
      <c r="B250" s="7" t="inlineStr">
        <is>
          <t>Logo Halal Malaysia hanya digunakan pada produk yang diluluskan dan tersenarai dalam SPHM, mengikut bentuk dan ciri yang ditetapkan, tanpa diubah bentuk, warna atau perkadarannya. Logo dicetak pada, atau dilekatkan bersama, produk atau bungkusannya.</t>
        </is>
      </c>
      <c r="C250" s="7" t="inlineStr">
        <is>
          <t>MPPHM 40, 41; MS 1500 kl. 7*; Perintah Perakuan &amp; Penandaan Halal 2011 perenggan 4(1), 6</t>
        </is>
      </c>
      <c r="D250" s="7" t="inlineStr"/>
      <c r="E250" s="7" t="inlineStr"/>
      <c r="F250" t="inlineStr">
        <is>
          <t>K</t>
        </is>
      </c>
    </row>
    <row r="251">
      <c r="A251" s="7" t="inlineStr">
        <is>
          <t>K15</t>
        </is>
      </c>
      <c r="B251" s="7" t="inlineStr">
        <is>
          <t>Reka bentuk setiap label baharu atau yang dipinda disemak dan diluluskan sebelum dicetak, oleh Eksekutif Halal (HAS) atau oleh pegawai yang bertanggungjawab terhadap halal (IHCS). Rekod kelulusan disimpan.</t>
        </is>
      </c>
      <c r="C251" s="7" t="inlineStr">
        <is>
          <t>MHMS 5(3); MPPHM 17(6)(e), 17(6)(j)</t>
        </is>
      </c>
      <c r="D251" s="7" t="inlineStr"/>
      <c r="E251" s="7" t="inlineStr"/>
      <c r="F251" t="inlineStr">
        <is>
          <t>K</t>
        </is>
      </c>
    </row>
    <row r="252">
      <c r="A252" s="7" t="inlineStr">
        <is>
          <t>K16</t>
        </is>
      </c>
      <c r="B252" s="7" t="inlineStr">
        <is>
          <t>Stok label dan bungkusan lama yang tidak lagi tepat (cth. nombor rujukan fail, nama produk atau senarai ramuan yang lama) dikawal dan dilupuskan.</t>
        </is>
      </c>
      <c r="C252" s="7" t="inlineStr">
        <is>
          <t>MPPHM 17(6)(e); MHMS 5(6)</t>
        </is>
      </c>
      <c r="D252" s="7" t="inlineStr"/>
      <c r="E252" s="7" t="inlineStr"/>
      <c r="F252" t="inlineStr">
        <is>
          <t>K</t>
        </is>
      </c>
    </row>
    <row r="253">
      <c r="A253" s="7" t="inlineStr">
        <is>
          <t>K17</t>
        </is>
      </c>
      <c r="B253" s="7" t="inlineStr">
        <is>
          <t>Tiada logo halal, perkataan 'halal' atau ungkapan seumpamanya (cth. 'Ditanggung Halal', 'Makanan Islam') pada produk, laman web, katalog atau bahan promosi bagi produk yang tidak disijilkan oleh pihak berkuasa berwibawa (JAKIM/MAIN/JAIN).</t>
        </is>
      </c>
      <c r="C253" s="7" t="inlineStr">
        <is>
          <t>APD 2011 s. 28, 29; Perintah Perakuan &amp; Penandaan Halal 2011 perenggan 3, 4(1); Perintah Takrif Halal 2011 perenggan 4; MPPHM 41</t>
        </is>
      </c>
      <c r="D253" s="7" t="inlineStr"/>
      <c r="E253" s="7" t="inlineStr"/>
      <c r="F253" t="inlineStr">
        <is>
          <t>K</t>
        </is>
      </c>
    </row>
    <row r="254">
      <c r="A254" s="7" t="inlineStr">
        <is>
          <t>K18</t>
        </is>
      </c>
      <c r="B254" s="7" t="inlineStr">
        <is>
          <t>Label mengandungi butiran wajib: nama makanan yang sesuai; perkataan yang menunjukkan kandungan dicampur atau diadun (jika berkaitan); senarai ramuan mengikut tertib berat menurun; bahan yang boleh menyebabkan alahan; pernyataan bahan tambah; kandungan bersih minimum (dan berat toskan bagi makanan dalam cecair); serta nama dan alamat perniagaan pengilang, pembungkus atau pemilik hak. Bagi makanan import yang dibungkus semula, label turut menyatakan nama dan alamat perniagaan pengilang atau ejennya, nama dan alamat pengimport di Malaysia, dan negara asal makanan.</t>
        </is>
      </c>
      <c r="C254" s="7" t="inlineStr">
        <is>
          <t>PM 1985 per. 9, 11(1)(a), 11(1)(b), 11(1)(e), 11(1)(ea), 11(1)(g), 11(1)(i), 11(1)(ia), 11(1)(j); MPPHM 17(6)(h)</t>
        </is>
      </c>
      <c r="D254" s="7" t="inlineStr"/>
      <c r="E254" s="7" t="inlineStr"/>
      <c r="F254" t="inlineStr">
        <is>
          <t>K</t>
        </is>
      </c>
    </row>
    <row r="255">
      <c r="A255" s="7" t="inlineStr">
        <is>
          <t>K19</t>
        </is>
      </c>
      <c r="B255" s="7" t="inlineStr">
        <is>
          <t>Label menyatakan kehadiran lemak atau minyak makan, bersama nama haiwan atau tumbuhan asalnya.</t>
        </is>
      </c>
      <c r="C255" s="7" t="inlineStr">
        <is>
          <t>PM 1985 per. 11(1)(f)</t>
        </is>
      </c>
      <c r="D255" s="7" t="inlineStr"/>
      <c r="E255" s="7" t="inlineStr"/>
      <c r="F255" t="inlineStr">
        <is>
          <t>K</t>
        </is>
      </c>
    </row>
    <row r="256">
      <c r="A256" s="7" t="inlineStr">
        <is>
          <t>K20</t>
        </is>
      </c>
      <c r="B256" s="7" t="inlineStr">
        <is>
          <t>Bagi setiap ramuan atau bahan tambah yang berasal daripada haiwan (cth. gelatin, lemak, kolagen, E471 sumber haiwan), nama biasa haiwan itu dinyatakan dalam senarai ramuan pada label (cth. 'gelatin (lembu)'), dan nama itu sepadan dengan sijil halal bahan.</t>
        </is>
      </c>
      <c r="C256" s="7" t="inlineStr">
        <is>
          <t>PM 1985 per. 11(3)</t>
        </is>
      </c>
      <c r="D256" s="7" t="inlineStr"/>
      <c r="E256" s="7" t="inlineStr"/>
      <c r="F256" t="inlineStr">
        <is>
          <t>K</t>
        </is>
      </c>
    </row>
    <row r="257">
      <c r="A257" s="7" t="inlineStr">
        <is>
          <t>K21</t>
        </is>
      </c>
      <c r="B257" s="7" t="inlineStr">
        <is>
          <t>Produk yang mengandungi daging lembu atau derivatifnya dilabel dengan pernyataan 'MENGANDUNGI DAGING LEMBU' (atau derivatifnya), dan pernyataan itu dicetak betul-betul di bawah nama makanan. Tiada produk yang memerlukan pernyataan 'MENGANDUNGI BABI', 'MENGANDUNGI LEMAK BABI' atau 'MENGANDUNGI ALKOHOL' (alkohol tambahan).</t>
        </is>
      </c>
      <c r="C257" s="7" t="inlineStr">
        <is>
          <t>PM 1985 per. 11(1)(c), 11(1)(d), 11(2); MPPHM 6(1)</t>
        </is>
      </c>
      <c r="D257" s="7" t="inlineStr"/>
      <c r="E257" s="7" t="inlineStr"/>
      <c r="F257" t="inlineStr">
        <is>
          <t>K</t>
        </is>
      </c>
    </row>
    <row r="258">
      <c r="A258" s="7" t="inlineStr">
        <is>
          <t>K22</t>
        </is>
      </c>
      <c r="B258" s="7" t="inlineStr">
        <is>
          <t>Penandaan tarikh (cth. 'TARIKH LUPUT', 'GUNA SEBELUM', 'BAIK SEBELUM') dibuat bagi makanan yang disenaraikan dalam Jadual Kelima PM 1985.</t>
        </is>
      </c>
      <c r="C258" s="7" t="inlineStr">
        <is>
          <t>PM 1985 per. 14</t>
        </is>
      </c>
      <c r="D258" s="7" t="inlineStr"/>
      <c r="E258" s="7" t="inlineStr"/>
      <c r="F258" t="inlineStr">
        <is>
          <t>K</t>
        </is>
      </c>
    </row>
    <row r="259">
      <c r="A259" s="7" t="inlineStr">
        <is>
          <t>K23</t>
        </is>
      </c>
      <c r="B259" s="7" t="inlineStr">
        <is>
          <t>Pelabelan pemakanan (jika diwajibkan bagi makanan berkenaan) serta tuntutan kandungan nutrien, perbandingan nutrien dan fungsi nutrien mematuhi syarat yang ditetapkan.</t>
        </is>
      </c>
      <c r="C259" s="7" t="inlineStr">
        <is>
          <t>PM 1985 per. 18B, 18C, 18D, 18E</t>
        </is>
      </c>
      <c r="D259" s="7" t="inlineStr"/>
      <c r="E259" s="7" t="inlineStr"/>
      <c r="F259" t="inlineStr">
        <is>
          <t>K</t>
        </is>
      </c>
    </row>
    <row r="260">
      <c r="A260" s="7" t="inlineStr">
        <is>
          <t>K24</t>
        </is>
      </c>
      <c r="B260" s="7" t="inlineStr">
        <is>
          <t>Label dan iklan tidak mengandungi perkara yang dilarang (cth. tuntutan perubatan atau terapeutik, termasuk bagi produk interfasa makanan-dadah), atau tuntutan yang palsu, mengelirukan atau memperdaya tentang sifat, komposisi, kualiti atau asal produk.</t>
        </is>
      </c>
      <c r="C260" s="7" t="inlineStr">
        <is>
          <t>PM 1985 per. 18, 18A; MPPHM 17(6)(g); Akta Makanan 1983 s. 15, 16, 17</t>
        </is>
      </c>
      <c r="D260" s="7" t="inlineStr"/>
      <c r="E260" s="7" t="inlineStr"/>
      <c r="F260" t="inlineStr">
        <is>
          <t>K</t>
        </is>
      </c>
    </row>
    <row r="261">
      <c r="A261" s="7" t="inlineStr">
        <is>
          <t>K25</t>
        </is>
      </c>
      <c r="B261" s="7" t="inlineStr">
        <is>
          <t>SPHM yang sah, berserta senarai produk yang diluluskan, disimpan di premis. Salinan yang diserahkan kepada pelanggan tidak diubah suai dan tidak digunakan untuk produk yang tidak tersenarai.</t>
        </is>
      </c>
      <c r="C261" s="7" t="inlineStr">
        <is>
          <t>MPPHM 34, 36; MS 1500 kl. 6*</t>
        </is>
      </c>
      <c r="D261" s="7" t="inlineStr"/>
      <c r="E261" s="7" t="inlineStr"/>
      <c r="F261" t="inlineStr">
        <is>
          <t>K</t>
        </is>
      </c>
    </row>
    <row r="262">
      <c r="A262" s="7" t="inlineStr">
        <is>
          <t>K26</t>
        </is>
      </c>
      <c r="B262" s="7" t="inlineStr">
        <is>
          <t>Tempoh sah SPHM dipantau, dan permohonan pembaharuan dibuat sebelum sijil tamat tempoh.</t>
        </is>
      </c>
      <c r="C262" s="7" t="inlineStr">
        <is>
          <t>MPPHM 22, 35</t>
        </is>
      </c>
      <c r="D262" s="7" t="inlineStr"/>
      <c r="E262" s="7" t="inlineStr"/>
      <c r="F262" t="inlineStr">
        <is>
          <t>K</t>
        </is>
      </c>
    </row>
    <row r="263">
      <c r="A263" s="7" t="inlineStr">
        <is>
          <t>K27</t>
        </is>
      </c>
      <c r="B263" s="7" t="inlineStr">
        <is>
          <t>Produk eksport (jika negara pengimport atau pembeli memerlukan dokumen halal bagi setiap konsainan): Nota Konsainan dimohon mengikut prosedur JAKIM.</t>
        </is>
      </c>
      <c r="C263" s="7" t="inlineStr">
        <is>
          <t>MPPHM 14, 61</t>
        </is>
      </c>
      <c r="D263" s="7" t="inlineStr"/>
      <c r="E263" s="7" t="inlineStr"/>
      <c r="F263" t="inlineStr">
        <is>
          <t>K</t>
        </is>
      </c>
    </row>
    <row r="264">
      <c r="A264" s="4" t="inlineStr">
        <is>
          <t>Bahagian L: Pengangkutan &amp; Pengedaran</t>
        </is>
      </c>
      <c r="B264" s="5" t="n"/>
      <c r="C264" s="5" t="n"/>
      <c r="D264" s="5" t="n"/>
      <c r="E264" s="6" t="n"/>
    </row>
    <row r="265" ht="26" customHeight="1">
      <c r="A265" s="2" t="inlineStr">
        <is>
          <t>Periksa kenderaan syarikat di kawasan penerimaan dan penghantaran, tangki pukal pembekal, kontrak pengangkutan pihak ketiga, dan rekod penghantaran ke pelanggan atau outlet.</t>
        </is>
      </c>
    </row>
    <row r="266">
      <c r="A266" s="7" t="inlineStr">
        <is>
          <t>L1</t>
        </is>
      </c>
      <c r="B266" s="7" t="inlineStr">
        <is>
          <t>Pengangkutan dan pengedaran digunakan untuk bahan mentah dan produk halal sahaja, dan kenderaan tidak digunakan untuk membawa makanan asal babi.</t>
        </is>
      </c>
      <c r="C266" s="7" t="inlineStr">
        <is>
          <t>MPPHM 17(7)(a); PKM per. 56(3); MS 1500 kl. 4.6*</t>
        </is>
      </c>
      <c r="D266" s="7" t="inlineStr"/>
      <c r="E266" s="7" t="inlineStr"/>
      <c r="F266" t="inlineStr">
        <is>
          <t>L</t>
        </is>
      </c>
    </row>
    <row r="267">
      <c r="A267" s="7" t="inlineStr">
        <is>
          <t>L2</t>
        </is>
      </c>
      <c r="B267" s="7" t="inlineStr">
        <is>
          <t>Kenderaan sesuai dengan sifat bahan dan produk, bersih, berfungsi dengan baik dan terkawal. Makanan diasingkan daripada barang bukan makanan, dan tiada bahan berbahaya, toksik atau beracun dibawa bersama.</t>
        </is>
      </c>
      <c r="C267" s="7" t="inlineStr">
        <is>
          <t>MPPHM 17(7)(b), 17(7)(c); PKM per. 56(1)</t>
        </is>
      </c>
      <c r="D267" s="7" t="inlineStr"/>
      <c r="E267" s="7" t="inlineStr"/>
      <c r="F267" t="inlineStr">
        <is>
          <t>L</t>
        </is>
      </c>
    </row>
    <row r="268">
      <c r="A268" s="7" t="inlineStr">
        <is>
          <t>L3</t>
        </is>
      </c>
      <c r="B268" s="7" t="inlineStr">
        <is>
          <t>Kenderaan dibersih atau dinyahkuman selepas membawa jenis makanan yang berbeza atau barang bukan makanan, dan pembersihannya direkodkan.</t>
        </is>
      </c>
      <c r="C268" s="7" t="inlineStr">
        <is>
          <t>PKM per. 56(2)</t>
        </is>
      </c>
      <c r="D268" s="7" t="inlineStr"/>
      <c r="E268" s="7" t="inlineStr"/>
      <c r="F268" t="inlineStr">
        <is>
          <t>L</t>
        </is>
      </c>
    </row>
    <row r="269">
      <c r="A269" s="7" t="inlineStr">
        <is>
          <t>L4</t>
        </is>
      </c>
      <c r="B269" s="7" t="inlineStr">
        <is>
          <t>Kenderaan berpendingin mengekalkan suhu -1°C hingga 10°C bagi makanan sejuk dan -18°C bagi makanan beku. Ruang simpanannya diperbuat daripada bahan tidak telap, dengan peralatan penyejuk yang mudah dibersihkan, dan rantaian sejuk tidak terputus.</t>
        </is>
      </c>
      <c r="C269" s="7" t="inlineStr">
        <is>
          <t>PKM per. 56(4), 56(5); MPPHM 17(7)(e)</t>
        </is>
      </c>
      <c r="D269" s="7" t="inlineStr"/>
      <c r="E269" s="7" t="inlineStr"/>
      <c r="F269" t="inlineStr">
        <is>
          <t>L</t>
        </is>
      </c>
    </row>
    <row r="270">
      <c r="A270" s="7" t="inlineStr">
        <is>
          <t>L5</t>
        </is>
      </c>
      <c r="B270" s="7" t="inlineStr">
        <is>
          <t>Pengangkutan pihak ketiga (bahan masuk dan produk keluar): kontrak, perjanjian bertulis atau persetujuan bersama tersedia, keutamaan diberi kepada penyedia perkhidmatan pengangkutan yang memiliki SPHM, dan produk syarikat tidak dibawa bersama produk tidak halal.</t>
        </is>
      </c>
      <c r="C270" s="7" t="inlineStr">
        <is>
          <t>MPPHM 17(7)(d), 17(7)(a); MHMS 5(7)</t>
        </is>
      </c>
      <c r="D270" s="7" t="inlineStr"/>
      <c r="E270" s="7" t="inlineStr"/>
      <c r="F270" t="inlineStr">
        <is>
          <t>L</t>
        </is>
      </c>
    </row>
    <row r="271">
      <c r="A271" s="7" t="inlineStr">
        <is>
          <t>L6</t>
        </is>
      </c>
      <c r="B271" s="7" t="inlineStr">
        <is>
          <t>Bahan pukal (cth. minyak, lemak, sirap, tepung) yang dihantar dengan tangki atau kenderaan pukal: tangki itu digunakan untuk bahan halal sahaja, atau rekod muatan terdahulu dan sijil pembersihannya disemak sebelum bahan diterima.</t>
        </is>
      </c>
      <c r="C271" s="7" t="inlineStr">
        <is>
          <t>MPPHM 17(7)(a), 17(7)(c); MHMS 5(6)</t>
        </is>
      </c>
      <c r="D271" s="7" t="inlineStr"/>
      <c r="E271" s="7" t="inlineStr"/>
      <c r="F271" t="inlineStr">
        <is>
          <t>L</t>
        </is>
      </c>
    </row>
    <row r="272">
      <c r="A272" s="7" t="inlineStr">
        <is>
          <t>L7</t>
        </is>
      </c>
      <c r="B272" s="7" t="inlineStr">
        <is>
          <t>Dapur pusat (jika berkaitan): produk dihantar ke outlet dalam bekas tertutup yang berlabel (nama produk, tarikh, nombor kelompok), dan setiap penghantaran direkodkan.</t>
        </is>
      </c>
      <c r="C272" s="7" t="inlineStr">
        <is>
          <t>MHMS 5(9); PKM per. 10(1), 56(1)</t>
        </is>
      </c>
      <c r="D272" s="7" t="inlineStr"/>
      <c r="E272" s="7" t="inlineStr"/>
      <c r="F272" t="inlineStr">
        <is>
          <t>L</t>
        </is>
      </c>
    </row>
    <row r="273">
      <c r="A273" s="7" t="inlineStr">
        <is>
          <t>L8</t>
        </is>
      </c>
      <c r="B273" s="7" t="inlineStr">
        <is>
          <t>Pemproses daging (jika berkaitan): karkas atau potongan daging segar diangkut tergantung atau di atas rak.</t>
        </is>
      </c>
      <c r="C273" s="7" t="inlineStr">
        <is>
          <t>PKM per. 40(1)</t>
        </is>
      </c>
      <c r="D273" s="7" t="inlineStr"/>
      <c r="E273" s="7" t="inlineStr"/>
      <c r="F273" t="inlineStr">
        <is>
          <t>L</t>
        </is>
      </c>
    </row>
    <row r="274">
      <c r="A274" s="7" t="inlineStr">
        <is>
          <t>L9</t>
        </is>
      </c>
      <c r="B274" s="7" t="inlineStr">
        <is>
          <t>Pemproses ikan (jika berkaitan): semasa pengangkutan, ikan segar dikekalkan pada suhu hampir ais cair, ikan beku di bawah -18°C, dan ikan beku dalam air garam untuk pengetinan di bawah -9°C. Air cair ais tidak bersentuhan dengan ikan.</t>
        </is>
      </c>
      <c r="C274" s="7" t="inlineStr">
        <is>
          <t>PKM per. 46</t>
        </is>
      </c>
      <c r="D274" s="7" t="inlineStr"/>
      <c r="E274" s="7" t="inlineStr"/>
      <c r="F274" t="inlineStr">
        <is>
          <t>L</t>
        </is>
      </c>
    </row>
    <row r="275">
      <c r="A275" s="7" t="inlineStr">
        <is>
          <t>L10</t>
        </is>
      </c>
      <c r="B275" s="7" t="inlineStr">
        <is>
          <t>Kenderaan yang tercemar najis mughallazah telah disertu, dengan rekod.</t>
        </is>
      </c>
      <c r="C275" s="7" t="inlineStr">
        <is>
          <t>MPPHM 17(7)(f); MS 1500 Lampiran A*</t>
        </is>
      </c>
      <c r="D275" s="7" t="inlineStr"/>
      <c r="E275" s="7" t="inlineStr"/>
      <c r="F275" t="inlineStr">
        <is>
          <t>L</t>
        </is>
      </c>
    </row>
    <row r="276">
      <c r="A276" s="4" t="inlineStr">
        <is>
          <t>Bahagian M: Kebolehkesanan, Analisis Makmal, Dokumentasi &amp; Rekod</t>
        </is>
      </c>
      <c r="B276" s="5" t="n"/>
      <c r="C276" s="5" t="n"/>
      <c r="D276" s="5" t="n"/>
      <c r="E276" s="6" t="n"/>
    </row>
    <row r="277" ht="26" customHeight="1">
      <c r="A277" s="2" t="inlineStr">
        <is>
          <t>Uji kebolehkesanan dengan memilih satu kelompok produk siap dan menjejakinya ke belakang hingga bahan mentah dan pembekal serta ke hadapan hingga pelanggan, kemudian semak laporan makmal dan fail dokumen serta rekod.</t>
        </is>
      </c>
    </row>
    <row r="278">
      <c r="A278" s="7" t="inlineStr">
        <is>
          <t>M1</t>
        </is>
      </c>
      <c r="B278" s="7" t="inlineStr">
        <is>
          <t>Sistem kebolehkesanan dapat mengenal pasti satu langkah ke belakang (dari mana bahan datang) dan satu langkah ke hadapan (ke mana produk pergi).</t>
        </is>
      </c>
      <c r="C278" s="7" t="inlineStr">
        <is>
          <t>PKM per. 10(1); MHMS 5(9)</t>
        </is>
      </c>
      <c r="D278" s="7" t="inlineStr"/>
      <c r="E278" s="7" t="inlineStr"/>
      <c r="F278" t="inlineStr">
        <is>
          <t>M</t>
        </is>
      </c>
    </row>
    <row r="279">
      <c r="A279" s="7" t="inlineStr">
        <is>
          <t>M2</t>
        </is>
      </c>
      <c r="B279" s="7" t="inlineStr">
        <is>
          <t>Prosedur kebolehkesanan bertulis membolehkan produk ditarik balik atau dipanggil balik jika berlaku ketidakakuran halal.</t>
        </is>
      </c>
      <c r="C279" s="7" t="inlineStr">
        <is>
          <t>MHMS 5(9) (Kebolehkesanan), 6, 7(1)</t>
        </is>
      </c>
      <c r="D279" s="7" t="inlineStr"/>
      <c r="E279" s="7" t="inlineStr"/>
      <c r="F279" t="inlineStr">
        <is>
          <t>M</t>
        </is>
      </c>
    </row>
    <row r="280">
      <c r="A280" s="7" t="inlineStr">
        <is>
          <t>M3</t>
        </is>
      </c>
      <c r="B280" s="7" t="inlineStr">
        <is>
          <t>Produk siap dikenal pasti dengan tarikh pengeluaran, tarikh luput, nombor kelompok atau kod bar.</t>
        </is>
      </c>
      <c r="C280" s="7" t="inlineStr">
        <is>
          <t>MHMS 5(9)</t>
        </is>
      </c>
      <c r="D280" s="7" t="inlineStr"/>
      <c r="E280" s="7" t="inlineStr"/>
      <c r="F280" t="inlineStr">
        <is>
          <t>M</t>
        </is>
      </c>
    </row>
    <row r="281">
      <c r="A281" s="7" t="inlineStr">
        <is>
          <t>M4</t>
        </is>
      </c>
      <c r="B281" s="7" t="inlineStr">
        <is>
          <t>Bagi kelompok yang dipilih, rekod pemprosesan (rekod pengeluaran kelompok, formulasi, resipi dan analisis produk) dapat mengenal pasti nombor kelompok setiap bahan yang digunakan dan pembekalnya.</t>
        </is>
      </c>
      <c r="C281" s="7" t="inlineStr">
        <is>
          <t>MHMS 5(9); PKM per. 11(1)(d)</t>
        </is>
      </c>
      <c r="D281" s="7" t="inlineStr"/>
      <c r="E281" s="7" t="inlineStr"/>
      <c r="F281" t="inlineStr">
        <is>
          <t>M</t>
        </is>
      </c>
    </row>
    <row r="282">
      <c r="A282" s="7" t="inlineStr">
        <is>
          <t>M5</t>
        </is>
      </c>
      <c r="B282" s="7" t="inlineStr">
        <is>
          <t>Data pembekal disimpan: nama dan alamat pembekal dan pengeluar, nombor establishment, sijil halal, spesifikasi, carta alir, sumber bahan, invois pembelian, CoA dan permit import (jika berkaitan).</t>
        </is>
      </c>
      <c r="C282" s="7" t="inlineStr">
        <is>
          <t>MHMS 5(9)</t>
        </is>
      </c>
      <c r="D282" s="7" t="inlineStr"/>
      <c r="E282" s="7" t="inlineStr"/>
      <c r="F282" t="inlineStr">
        <is>
          <t>M</t>
        </is>
      </c>
    </row>
    <row r="283">
      <c r="A283" s="7" t="inlineStr">
        <is>
          <t>M6</t>
        </is>
      </c>
      <c r="B283" s="7" t="inlineStr">
        <is>
          <t>Rekod pengedaran disimpan: nama dan alamat pengedar atau pelanggan, kontrak pengangkutan dan nota hantaran.</t>
        </is>
      </c>
      <c r="C283" s="7" t="inlineStr">
        <is>
          <t>MHMS 5(9)</t>
        </is>
      </c>
      <c r="D283" s="7" t="inlineStr"/>
      <c r="E283" s="7" t="inlineStr"/>
      <c r="F283" t="inlineStr">
        <is>
          <t>M</t>
        </is>
      </c>
    </row>
    <row r="284">
      <c r="A284" s="7" t="inlineStr">
        <is>
          <t>M7</t>
        </is>
      </c>
      <c r="B284" s="7" t="inlineStr">
        <is>
          <t>Prosedur penarikan balik meliputi langkah berikut: kenal pasti dan asingkan stok yang terlibat; kenal pasti dan tarik balik produk di pasaran serta maklumkan pihak berkuasa; kenal pasti punca masalah dalam kilang; dan jejaki sumber bahan serta pembekal.</t>
        </is>
      </c>
      <c r="C284" s="7" t="inlineStr">
        <is>
          <t>MHMS 5(9)</t>
        </is>
      </c>
      <c r="D284" s="7" t="inlineStr"/>
      <c r="E284" s="7" t="inlineStr"/>
      <c r="F284" t="inlineStr">
        <is>
          <t>M</t>
        </is>
      </c>
    </row>
    <row r="285">
      <c r="A285" s="7" t="inlineStr">
        <is>
          <t>M8</t>
        </is>
      </c>
      <c r="B285" s="7" t="inlineStr">
        <is>
          <t>HAS (besar/sederhana): latihan penarikan balik (mock recall) dibuat sekurang-kurangnya sekali setahun, dan hasilnya direkodkan.</t>
        </is>
      </c>
      <c r="C285" s="7" t="inlineStr">
        <is>
          <t>MHMS 5(9)</t>
        </is>
      </c>
      <c r="D285" s="7" t="inlineStr"/>
      <c r="E285" s="7" t="inlineStr"/>
      <c r="F285" t="inlineStr">
        <is>
          <t>M</t>
        </is>
      </c>
    </row>
    <row r="286">
      <c r="A286" s="7" t="inlineStr">
        <is>
          <t>M9</t>
        </is>
      </c>
      <c r="B286" s="7" t="inlineStr">
        <is>
          <t>HAS (besar/sederhana): prosedur analisis makmal bertulis tersedia (jika berkaitan), dengan keutamaan kepada produk yang mengandungi bahan kritikal. Analisis dibuat di Malaysia Halal Analysis Centre (MyHAC), Jabatan Kimia Malaysia atau makmal panel halal yang dilantik JAKIM, dengan skop seperti DNA spesies daging, kandungan alkohol, kulit dan bulu, profil protein serta profil lemak dan minyak. Rekod analisis disimpan.</t>
        </is>
      </c>
      <c r="C286" s="7" t="inlineStr">
        <is>
          <t>MHMS 5(11) (Analisis Makmal)</t>
        </is>
      </c>
      <c r="D286" s="7" t="inlineStr"/>
      <c r="E286" s="7" t="inlineStr"/>
      <c r="F286" t="inlineStr">
        <is>
          <t>M</t>
        </is>
      </c>
    </row>
    <row r="287">
      <c r="A287" s="7" t="inlineStr">
        <is>
          <t>M10</t>
        </is>
      </c>
      <c r="B287" s="7" t="inlineStr">
        <is>
          <t>Sampel bahan atau produk yang diragui untuk ujian DNA babi diambil dan disediakan mengikut prosedur persampelan yang ditetapkan, dilabel dan direkodkan.</t>
        </is>
      </c>
      <c r="C287" s="7" t="inlineStr">
        <is>
          <t>MS 2627 kl. 7*; MHMS 5(11)</t>
        </is>
      </c>
      <c r="D287" s="7" t="inlineStr"/>
      <c r="E287" s="7" t="inlineStr"/>
      <c r="F287" t="inlineStr">
        <is>
          <t>M</t>
        </is>
      </c>
    </row>
    <row r="288">
      <c r="A288" s="7" t="inlineStr">
        <is>
          <t>M11</t>
        </is>
      </c>
      <c r="B288" s="7" t="inlineStr">
        <is>
          <t>Laporan ujian DNA babi menyatakan kaedah yang digunakan (MS 2627:2017 atau kaedah setara) dan keputusan dalam bentuk 'dikesan' atau 'tidak dikesan'.</t>
        </is>
      </c>
      <c r="C288" s="7" t="inlineStr">
        <is>
          <t>MS 2627 kl. 9*, kl. 10*</t>
        </is>
      </c>
      <c r="D288" s="7" t="inlineStr"/>
      <c r="E288" s="7" t="inlineStr"/>
      <c r="F288" t="inlineStr">
        <is>
          <t>M</t>
        </is>
      </c>
    </row>
    <row r="289">
      <c r="A289" s="7" t="inlineStr">
        <is>
          <t>M12</t>
        </is>
      </c>
      <c r="B289" s="7" t="inlineStr">
        <is>
          <t>Makmal dalaman (jika kilang menjalankan sendiri ujian saringan DNA babi): jika kaedah yang diubah suai daripada MS 2627 digunakan, bukti pengesahan kaedah dalaman (in-house validation) tersedia.</t>
        </is>
      </c>
      <c r="C289" s="7" t="inlineStr">
        <is>
          <t>MS 2627 kl. 11*</t>
        </is>
      </c>
      <c r="D289" s="7" t="inlineStr"/>
      <c r="E289" s="7" t="inlineStr"/>
      <c r="F289" t="inlineStr">
        <is>
          <t>M</t>
        </is>
      </c>
    </row>
    <row r="290">
      <c r="A290" s="7" t="inlineStr">
        <is>
          <t>M13</t>
        </is>
      </c>
      <c r="B290" s="7" t="inlineStr">
        <is>
          <t>Jika keputusan ujian positif atau meragukan, bahan atau produk itu diasingkan, kelompok yang terlibat dikesan dan ditarik balik, punca disiasat bersama pembekal, dan pihak berkuasa dimaklumkan.</t>
        </is>
      </c>
      <c r="C290" s="7" t="inlineStr">
        <is>
          <t>MHMS 5(9), 5(11)</t>
        </is>
      </c>
      <c r="D290" s="7" t="inlineStr"/>
      <c r="E290" s="7" t="inlineStr"/>
      <c r="F290" t="inlineStr">
        <is>
          <t>M</t>
        </is>
      </c>
    </row>
    <row r="291">
      <c r="A291" s="7" t="inlineStr">
        <is>
          <t>M14</t>
        </is>
      </c>
      <c r="B291" s="7" t="inlineStr">
        <is>
          <t>Dokumen dan rekod disimpan dengan baik, dikemas kini dan mudah dirujuk semasa audit. Ini merangkumi fail permohonan halal, fail MHMS, salinan SPHM, rekod pekerja, rekod latihan halal, rekod pembelian bahan mentah, rekod kawalan perosak, rekod pemprosesan produk, dan rekod audit atau pemantauan terdahulu. Dokumen sokongan difailkan berasingan dengan nombor rujukan.</t>
        </is>
      </c>
      <c r="C291" s="7" t="inlineStr">
        <is>
          <t>MPPHM 17(14)(a), 17(14)(b); MHMS 5(13) (Dokumentasi dan Rekod)</t>
        </is>
      </c>
      <c r="D291" s="7" t="inlineStr"/>
      <c r="E291" s="7" t="inlineStr"/>
      <c r="F291" t="inlineStr">
        <is>
          <t>M</t>
        </is>
      </c>
    </row>
    <row r="292">
      <c r="A292" s="7" t="inlineStr">
        <is>
          <t>M15</t>
        </is>
      </c>
      <c r="B292" s="7" t="inlineStr">
        <is>
          <t>Dokumen dan rekod disimpan sekurang-kurangnya 3 tahun, dan pemohon baharu mempunyai rekod sekurang-kurangnya 3 bulan.</t>
        </is>
      </c>
      <c r="C292" s="7" t="inlineStr">
        <is>
          <t>MPPHM 17(14)(c), 17(14)(d); MHMS 5(13)</t>
        </is>
      </c>
      <c r="D292" s="7" t="inlineStr"/>
      <c r="E292" s="7" t="inlineStr"/>
      <c r="F292" t="inlineStr">
        <is>
          <t>M</t>
        </is>
      </c>
    </row>
    <row r="293">
      <c r="A293" s="7" t="inlineStr">
        <is>
          <t>M16</t>
        </is>
      </c>
      <c r="B293" s="7" t="inlineStr">
        <is>
          <t>Rekod latihan, pemeriksaan perubatan dan suntikan bagi semua pengendali makanan disimpan dan tersedia untuk pemeriksaan.</t>
        </is>
      </c>
      <c r="C293" s="7" t="inlineStr">
        <is>
          <t>PKM per. 11(1)(c)</t>
        </is>
      </c>
      <c r="D293" s="7" t="inlineStr"/>
      <c r="E293" s="7" t="inlineStr"/>
      <c r="F293" t="inlineStr">
        <is>
          <t>M</t>
        </is>
      </c>
    </row>
    <row r="294">
      <c r="A294" s="7" t="inlineStr">
        <is>
          <t>M17</t>
        </is>
      </c>
      <c r="B294" s="7" t="inlineStr">
        <is>
          <t>Rekod pembersihan, pembungkusan, pemprosesan, penyimpanan dan pengedaran makanan disimpan dan tersedia untuk pemeriksaan.</t>
        </is>
      </c>
      <c r="C294" s="7" t="inlineStr">
        <is>
          <t>PKM per. 11(1)(d)</t>
        </is>
      </c>
      <c r="D294" s="7" t="inlineStr"/>
      <c r="E294" s="7" t="inlineStr"/>
      <c r="F294" t="inlineStr">
        <is>
          <t>M</t>
        </is>
      </c>
    </row>
    <row r="295">
      <c r="A295" s="7" t="inlineStr">
        <is>
          <t>M18</t>
        </is>
      </c>
      <c r="B295" s="7" t="inlineStr">
        <is>
          <t>Laporan audit pensijilan halal dan pemantauan terdahulu tersedia, dan setiap ketidakakuran telah ditutup dengan tindakan pembetulan.</t>
        </is>
      </c>
      <c r="C295" s="7" t="inlineStr">
        <is>
          <t>MPPHM 17(14)(b)</t>
        </is>
      </c>
      <c r="D295" s="7" t="inlineStr"/>
      <c r="E295" s="7" t="inlineStr"/>
      <c r="F295" t="inlineStr">
        <is>
          <t>M</t>
        </is>
      </c>
    </row>
    <row r="296">
      <c r="A296" s="7" t="inlineStr">
        <is>
          <t>M19</t>
        </is>
      </c>
      <c r="B296" s="7" t="inlineStr">
        <is>
          <t>Rekod pemeriksaan KKM atau PBT, notis atau arahan yang diterima (cth. arahan pembersihan atau penutupan premis), dan tindakan pembetulannya disimpan.</t>
        </is>
      </c>
      <c r="C296" s="7" t="inlineStr">
        <is>
          <t>Akta Makanan 1983 s. 10, 11</t>
        </is>
      </c>
      <c r="D296" s="7" t="inlineStr"/>
      <c r="E296" s="7" t="inlineStr"/>
      <c r="F296" t="inlineStr">
        <is>
          <t>M</t>
        </is>
      </c>
    </row>
    <row r="297">
      <c r="A297" s="7" t="inlineStr">
        <is>
          <t>M20</t>
        </is>
      </c>
      <c r="B297" s="7" t="inlineStr">
        <is>
          <t>Rekod sertu (tarikh, kawasan atau peralatan, kaedah, penyelia) disimpan bagi setiap sertu yang dilakukan.</t>
        </is>
      </c>
      <c r="C297" s="7" t="inlineStr">
        <is>
          <t>MHMS 5(12) (Sertu)</t>
        </is>
      </c>
      <c r="D297" s="7" t="inlineStr"/>
      <c r="E297" s="7" t="inlineStr"/>
      <c r="F297" t="inlineStr">
        <is>
          <t>M</t>
        </is>
      </c>
    </row>
    <row r="298">
      <c r="A298" s="4" t="inlineStr">
        <is>
          <t>Bahagian N: GMP MS 1514: Reka bentuk dan kemudahan</t>
        </is>
      </c>
      <c r="B298" s="5" t="n"/>
      <c r="C298" s="5" t="n"/>
      <c r="D298" s="5" t="n"/>
      <c r="E298" s="6" t="n"/>
    </row>
    <row r="299" ht="26" customHeight="1">
      <c r="A299" s="2" t="inlineStr">
        <is>
          <t>Semak lokasi, bangunan, bilik, peralatan dan kemudahan kilang mengikut MS 1514:2022 klausa 4 (GMP dikehendaki oleh MPPHM 17(3)(e) dan 17(8)(i)).</t>
        </is>
      </c>
    </row>
    <row r="300">
      <c r="A300" s="7" t="inlineStr">
        <is>
          <t>N1</t>
        </is>
      </c>
      <c r="B300" s="7" t="inlineStr">
        <is>
          <t>Premis terletak jauh daripada kawasan tercemar dan aktiviti perindustrian yang berisiko mencemarkan makanan, kawasan mudah banjir, kawasan mudah diserang perosak, kawasan yang sisa pepejal atau cecair tidak dapat dialihkan dengan berkesan, serta kolam pengudaraan dan tangki septik.</t>
        </is>
      </c>
      <c r="C300" s="7" t="inlineStr">
        <is>
          <t>MS 1514 kl. 4.1.1 (saranan)</t>
        </is>
      </c>
      <c r="D300" s="7" t="inlineStr"/>
      <c r="E300" s="7" t="inlineStr"/>
      <c r="F300" t="inlineStr">
        <is>
          <t>N</t>
        </is>
      </c>
    </row>
    <row r="301">
      <c r="A301" s="7" t="inlineStr">
        <is>
          <t>N2</t>
        </is>
      </c>
      <c r="B301" s="7" t="inlineStr">
        <is>
          <t>Langkah perlindungan dilaksanakan jika terdapat ancaman kepada keselamatan atau kesesuaian makanan di lokasi premis (contohnya benteng banjir atau kawalan perosak tambahan).</t>
        </is>
      </c>
      <c r="C301" s="7" t="inlineStr">
        <is>
          <t>MS 1514 kl. 4.1.2 (saranan)</t>
        </is>
      </c>
      <c r="D301" s="7" t="inlineStr"/>
      <c r="E301" s="7" t="inlineStr"/>
      <c r="F301" t="inlineStr">
        <is>
          <t>N</t>
        </is>
      </c>
    </row>
    <row r="302">
      <c r="A302" s="7" t="inlineStr">
        <is>
          <t>N3</t>
        </is>
      </c>
      <c r="B302" s="7" t="inlineStr">
        <is>
          <t>Reka bentuk dalaman dan susun atur premis dibina dan diselenggara dengan cara yang memudahkan amalan kebersihan dan amalan pengilangan yang baik.</t>
        </is>
      </c>
      <c r="C302" s="7" t="inlineStr">
        <is>
          <t>MS 1514 kl. 4.2.1.1</t>
        </is>
      </c>
      <c r="D302" s="7" t="inlineStr"/>
      <c r="E302" s="7" t="inlineStr"/>
      <c r="F302" t="inlineStr">
        <is>
          <t>N</t>
        </is>
      </c>
    </row>
    <row r="303">
      <c r="A303" s="7" t="inlineStr">
        <is>
          <t>N4</t>
        </is>
      </c>
      <c r="B303" s="7" t="inlineStr">
        <is>
          <t>Corak pergerakan bahan, produk dan pekerja serta susun atur peralatan direka bentuk untuk melindungi daripada sumber pencemaran (contohnya operasi berisiko diasingkan melalui lokasi, masa, sekatan, aliran udara atau sistem tertutup).</t>
        </is>
      </c>
      <c r="C303" s="7" t="inlineStr">
        <is>
          <t>MS 1514 kl. 4.2.1.2</t>
        </is>
      </c>
      <c r="D303" s="7" t="inlineStr"/>
      <c r="E303" s="7" t="inlineStr"/>
      <c r="F303" t="inlineStr">
        <is>
          <t>N</t>
        </is>
      </c>
    </row>
    <row r="304">
      <c r="A304" s="7" t="inlineStr">
        <is>
          <t>N5</t>
        </is>
      </c>
      <c r="B304" s="7" t="inlineStr">
        <is>
          <t>Lorong atau ruang kerja di antara peralatan dan dinding tidak terhalang dan cukup lebar supaya pekerja dapat bekerja tanpa pakaian atau sentuhan badan mencemari makanan atau permukaan sentuhan makanan.</t>
        </is>
      </c>
      <c r="C304" s="7" t="inlineStr">
        <is>
          <t>MS 1514 kl. 4.2.1.4 (saranan)</t>
        </is>
      </c>
      <c r="D304" s="7" t="inlineStr"/>
      <c r="E304" s="7" t="inlineStr"/>
      <c r="F304" t="inlineStr">
        <is>
          <t>N</t>
        </is>
      </c>
    </row>
    <row r="305">
      <c r="A305" s="7" t="inlineStr">
        <is>
          <t>N6</t>
        </is>
      </c>
      <c r="B305" s="7" t="inlineStr">
        <is>
          <t>Jika terdapat makmal di premis, makmal tersebut direka bentuk, ditempatkan dan dikendalikan supaya pencemaran produk diminimumkan.</t>
        </is>
      </c>
      <c r="C305" s="7" t="inlineStr">
        <is>
          <t>MS 1514 kl. 4.2.1.5</t>
        </is>
      </c>
      <c r="D305" s="7" t="inlineStr"/>
      <c r="E305" s="7" t="inlineStr"/>
      <c r="F305" t="inlineStr">
        <is>
          <t>N</t>
        </is>
      </c>
    </row>
    <row r="306">
      <c r="A306" s="7" t="inlineStr">
        <is>
          <t>N7</t>
        </is>
      </c>
      <c r="B306" s="7" t="inlineStr">
        <is>
          <t>Makmal mikrobiologi (jika ada) direka bentuk, ditempatkan dan dikendalikan bagi mencegah pencemaran kepada pekerja, kawasan pengeluaran dan produk.</t>
        </is>
      </c>
      <c r="C306" s="7" t="inlineStr">
        <is>
          <t>MS 1514 kl. 4.2.1.5</t>
        </is>
      </c>
      <c r="D306" s="7" t="inlineStr"/>
      <c r="E306" s="7" t="inlineStr"/>
      <c r="F306" t="inlineStr">
        <is>
          <t>N</t>
        </is>
      </c>
    </row>
    <row r="307">
      <c r="A307" s="7" t="inlineStr">
        <is>
          <t>N8</t>
        </is>
      </c>
      <c r="B307" s="7" t="inlineStr">
        <is>
          <t>Makmal mikrobiologi tidak mempunyai bukaan atau pintu yang terus ke kawasan pengeluaran.</t>
        </is>
      </c>
      <c r="C307" s="7" t="inlineStr">
        <is>
          <t>MS 1514 kl. 4.2.1.5</t>
        </is>
      </c>
      <c r="D307" s="7" t="inlineStr"/>
      <c r="E307" s="7" t="inlineStr"/>
      <c r="F307" t="inlineStr">
        <is>
          <t>N</t>
        </is>
      </c>
    </row>
    <row r="308">
      <c r="A308" s="7" t="inlineStr">
        <is>
          <t>N9</t>
        </is>
      </c>
      <c r="B308" s="7" t="inlineStr">
        <is>
          <t>Pelan susun atur loji tersedia dan menunjukkan semua kemudahan, termasuk barisan pengeluaran, kawasan penyimpanan, kawasan dan kemudahan pekerja, kawasan kuarantin produk tidak akur, kemudahan sanitari, kawalan perosak dan pencahayaan.</t>
        </is>
      </c>
      <c r="C308" s="7" t="inlineStr">
        <is>
          <t>MS 1514 kl. 4.2.1.6</t>
        </is>
      </c>
      <c r="D308" s="7" t="inlineStr"/>
      <c r="E308" s="7" t="inlineStr"/>
      <c r="F308" t="inlineStr">
        <is>
          <t>N</t>
        </is>
      </c>
    </row>
    <row r="309">
      <c r="A309" s="7" t="inlineStr">
        <is>
          <t>N10</t>
        </is>
      </c>
      <c r="B309" s="7" t="inlineStr">
        <is>
          <t>Pelan susun atur loji menandakan kawasan yang berisiko berlaku pencemaran silang atau sentuhan tidak sengaja dengan produk dalam proses dan produk siap oleh bahan mentah, bahan tambah, pelincir, agen penyejuk, bahan kimia bukan makanan, pembungkusan, palet dan bekas.</t>
        </is>
      </c>
      <c r="C309" s="7" t="inlineStr">
        <is>
          <t>MS 1514 kl. 4.2.1.6</t>
        </is>
      </c>
      <c r="D309" s="7" t="inlineStr"/>
      <c r="E309" s="7" t="inlineStr"/>
      <c r="F309" t="inlineStr">
        <is>
          <t>N</t>
        </is>
      </c>
    </row>
    <row r="310">
      <c r="A310" s="7" t="inlineStr">
        <is>
          <t>N11</t>
        </is>
      </c>
      <c r="B310" s="7" t="inlineStr">
        <is>
          <t>Pelan susun atur loji menunjukkan laluan aliran bahan mentah, produk perantaraan, produk siap dan pekerja, serta aliran udara bagi kawasan penjagaan tinggi (high care area).</t>
        </is>
      </c>
      <c r="C310" s="7" t="inlineStr">
        <is>
          <t>MS 1514 kl. 4.2.1.6</t>
        </is>
      </c>
      <c r="D310" s="7" t="inlineStr"/>
      <c r="E310" s="7" t="inlineStr"/>
      <c r="F310" t="inlineStr">
        <is>
          <t>N</t>
        </is>
      </c>
    </row>
    <row r="311">
      <c r="A311" s="7" t="inlineStr">
        <is>
          <t>N12</t>
        </is>
      </c>
      <c r="B311" s="7" t="inlineStr">
        <is>
          <t>Struktur dalam premis dibina dengan kukuh menggunakan bahan tahan lama, mudah diselenggara, mudah dibersihkan dan, jika sesuai, boleh dinyahjangkit.</t>
        </is>
      </c>
      <c r="C311" s="7" t="inlineStr">
        <is>
          <t>MS 1514 kl. 4.2.2.1 (saranan)</t>
        </is>
      </c>
      <c r="D311" s="7" t="inlineStr"/>
      <c r="E311" s="7" t="inlineStr"/>
      <c r="F311" t="inlineStr">
        <is>
          <t>N</t>
        </is>
      </c>
    </row>
    <row r="312">
      <c r="A312" s="7" t="inlineStr">
        <is>
          <t>N13</t>
        </is>
      </c>
      <c r="B312" s="7" t="inlineStr">
        <is>
          <t>Permukaan dinding, sekatan dan lantai diperbuat daripada bahan tidak telap air atau bahan sesuai yang tidak toksik, dan dinding serta sekatan berpermukaan licin hingga ketinggian yang sesuai dengan operasi.</t>
        </is>
      </c>
      <c r="C312" s="7" t="inlineStr">
        <is>
          <t>MS 1514 kl. 4.2.2.1 (saranan)</t>
        </is>
      </c>
      <c r="D312" s="7" t="inlineStr"/>
      <c r="E312" s="7" t="inlineStr"/>
      <c r="F312" t="inlineStr">
        <is>
          <t>N</t>
        </is>
      </c>
    </row>
    <row r="313">
      <c r="A313" s="7" t="inlineStr">
        <is>
          <t>N14</t>
        </is>
      </c>
      <c r="B313" s="7" t="inlineStr">
        <is>
          <t>Lantai dibina untuk membolehkan saliran dan pembersihan yang mencukupi, dan simpang dinding-lantai di kawasan pemprosesan dilengkungkan (coved) jika perlu.</t>
        </is>
      </c>
      <c r="C313" s="7" t="inlineStr">
        <is>
          <t>MS 1514 kl. 4.2.2.1 (saranan)</t>
        </is>
      </c>
      <c r="D313" s="7" t="inlineStr"/>
      <c r="E313" s="7" t="inlineStr"/>
      <c r="F313" t="inlineStr">
        <is>
          <t>N</t>
        </is>
      </c>
    </row>
    <row r="314">
      <c r="A314" s="7" t="inlineStr">
        <is>
          <t>N15</t>
        </is>
      </c>
      <c r="B314" s="7" t="inlineStr">
        <is>
          <t>Siling (atau permukaan dalam bumbung) dan lekapan atas dibina dan dikemas siap untuk meminimumkan pengumpulan kotoran, pemeluwapan dan keguguran partikel seperti cat mengelupas.</t>
        </is>
      </c>
      <c r="C314" s="7" t="inlineStr">
        <is>
          <t>MS 1514 kl. 4.2.2.1 (saranan)</t>
        </is>
      </c>
      <c r="D314" s="7" t="inlineStr"/>
      <c r="E314" s="7" t="inlineStr"/>
      <c r="F314" t="inlineStr">
        <is>
          <t>N</t>
        </is>
      </c>
    </row>
    <row r="315">
      <c r="A315" s="7" t="inlineStr">
        <is>
          <t>N16</t>
        </is>
      </c>
      <c r="B315" s="7" t="inlineStr">
        <is>
          <t>Titisan atau air pemeluwapan daripada lekapan, saluran (duct) dan paip tidak mencemari makanan, permukaan sentuhan makanan atau bahan pembungkusan makanan.</t>
        </is>
      </c>
      <c r="C315" s="7" t="inlineStr">
        <is>
          <t>MS 1514 kl. 4.2.2.1</t>
        </is>
      </c>
      <c r="D315" s="7" t="inlineStr"/>
      <c r="E315" s="7" t="inlineStr"/>
      <c r="F315" t="inlineStr">
        <is>
          <t>N</t>
        </is>
      </c>
    </row>
    <row r="316">
      <c r="A316" s="7" t="inlineStr">
        <is>
          <t>N17</t>
        </is>
      </c>
      <c r="B316" s="7" t="inlineStr">
        <is>
          <t>Tingkap dan kipas pengudaraan dibina untuk meminimumkan pengumpulan kotoran, mudah dibersihkan dan, jika perlu, dipasang jaring kalis serangga yang boleh ditanggalkan dan dibersihkan.</t>
        </is>
      </c>
      <c r="C316" s="7" t="inlineStr">
        <is>
          <t>MS 1514 kl. 4.2.2.1 (saranan)</t>
        </is>
      </c>
      <c r="D316" s="7" t="inlineStr"/>
      <c r="E316" s="7" t="inlineStr"/>
      <c r="F316" t="inlineStr">
        <is>
          <t>N</t>
        </is>
      </c>
    </row>
    <row r="317">
      <c r="A317" s="7" t="inlineStr">
        <is>
          <t>N18</t>
        </is>
      </c>
      <c r="B317" s="7" t="inlineStr">
        <is>
          <t>Pintu mempunyai permukaan licin dan tidak menyerap, mudah dibersihkan dan, jika perlu, boleh dinyahjangkit.</t>
        </is>
      </c>
      <c r="C317" s="7" t="inlineStr">
        <is>
          <t>MS 1514 kl. 4.2.2.1 (saranan)</t>
        </is>
      </c>
      <c r="D317" s="7" t="inlineStr"/>
      <c r="E317" s="7" t="inlineStr"/>
      <c r="F317" t="inlineStr">
        <is>
          <t>N</t>
        </is>
      </c>
    </row>
    <row r="318">
      <c r="A318" s="7" t="inlineStr">
        <is>
          <t>N19</t>
        </is>
      </c>
      <c r="B318" s="7" t="inlineStr">
        <is>
          <t>Permukaan kerja yang bersentuhan terus dengan makanan berada dalam keadaan baik, tahan lama, licin, tidak menyerap, lengai (inert) terhadap makanan, detergen dan sanitaiser, serta mudah dibersihkan, diselenggara dan disanitasi.</t>
        </is>
      </c>
      <c r="C318" s="7" t="inlineStr">
        <is>
          <t>MS 1514 kl. 4.2.2.1 (saranan)</t>
        </is>
      </c>
      <c r="D318" s="7" t="inlineStr"/>
      <c r="E318" s="7" t="inlineStr"/>
      <c r="F318" t="inlineStr">
        <is>
          <t>N</t>
        </is>
      </c>
    </row>
    <row r="319">
      <c r="A319" s="7" t="inlineStr">
        <is>
          <t>N20</t>
        </is>
      </c>
      <c r="B319" s="7" t="inlineStr">
        <is>
          <t>Peralatan dan bekas yang bersentuhan dengan makanan sesuai untuk sentuhan makanan (food grade) dan direka bentuk, dibina serta ditempatkan mengikut prinsip reka bentuk higienik supaya boleh dibersihkan dengan sempurna (kecuali bekas sekali guna), dinyahjangkit (jika perlu) dan diselenggara bagi mengelakkan pencemaran makanan.</t>
        </is>
      </c>
      <c r="C319" s="7" t="inlineStr">
        <is>
          <t>MS 1514 kl. 4.3.1.1 (saranan)</t>
        </is>
      </c>
      <c r="D319" s="7" t="inlineStr"/>
      <c r="E319" s="7" t="inlineStr"/>
      <c r="F319" t="inlineStr">
        <is>
          <t>N</t>
        </is>
      </c>
    </row>
    <row r="320">
      <c r="A320" s="7" t="inlineStr">
        <is>
          <t>N21</t>
        </is>
      </c>
      <c r="B320" s="7" t="inlineStr">
        <is>
          <t>Peralatan dan bekas diperbuat daripada bahan tidak toksik; jika perlu, peralatan tahan lama dan boleh dialihkan atau dileraikan untuk penyelenggaraan, pembersihan, nyahjangkit dan pemeriksaan perosak.</t>
        </is>
      </c>
      <c r="C320" s="7" t="inlineStr">
        <is>
          <t>MS 1514 kl. 4.3.1.2 (saranan)</t>
        </is>
      </c>
      <c r="D320" s="7" t="inlineStr"/>
      <c r="E320" s="7" t="inlineStr"/>
      <c r="F320" t="inlineStr">
        <is>
          <t>N</t>
        </is>
      </c>
    </row>
    <row r="321">
      <c r="A321" s="7" t="inlineStr">
        <is>
          <t>N22</t>
        </is>
      </c>
      <c r="B321" s="7" t="inlineStr">
        <is>
          <t>Peralatan memasak, memanaskan, menyejukkan, menyimpan atau membekukan makanan mampu mencapai suhu makanan yang diperlukan secepat yang perlu dan mengekalkannya dengan berkesan, serta direka bentuk supaya suhu boleh dikawal dan, jika boleh, dipantau (contohnya termometer atau paparan suhu).</t>
        </is>
      </c>
      <c r="C321" s="7" t="inlineStr">
        <is>
          <t>MS 1514 kl. 4.3.2.1 (saranan)</t>
        </is>
      </c>
      <c r="D321" s="7" t="inlineStr"/>
      <c r="E321" s="7" t="inlineStr"/>
      <c r="F321" t="inlineStr">
        <is>
          <t>N</t>
        </is>
      </c>
    </row>
    <row r="322">
      <c r="A322" s="7" t="inlineStr">
        <is>
          <t>N23</t>
        </is>
      </c>
      <c r="B322" s="7" t="inlineStr">
        <is>
          <t>Jika sesuai, peralatan berkaitan suhu dikalibrasi atau disahkan (verified) pada selang masa yang ditetapkan atau sebelum digunakan supaya proses makanan dipantau secara konsisten dan tepat (contoh bukti: sijil atau rekod kalibrasi).</t>
        </is>
      </c>
      <c r="C322" s="7" t="inlineStr">
        <is>
          <t>MS 1514 kl. 4.3.2.1 (saranan)</t>
        </is>
      </c>
      <c r="D322" s="7" t="inlineStr"/>
      <c r="E322" s="7" t="inlineStr"/>
      <c r="F322" t="inlineStr">
        <is>
          <t>N</t>
        </is>
      </c>
    </row>
    <row r="323">
      <c r="A323" s="7" t="inlineStr">
        <is>
          <t>N24</t>
        </is>
      </c>
      <c r="B323" s="7" t="inlineStr">
        <is>
          <t>Jika perlu, peralatan mempunyai cara berkesan untuk mengawal dan memantau kelembapan, aliran udara dan ciri lain yang boleh menjejaskan keselamatan atau kesesuaian makanan.</t>
        </is>
      </c>
      <c r="C323" s="7" t="inlineStr">
        <is>
          <t>MS 1514 kl. 4.3.2.2 (saranan)</t>
        </is>
      </c>
      <c r="D323" s="7" t="inlineStr"/>
      <c r="E323" s="7" t="inlineStr"/>
      <c r="F323" t="inlineStr">
        <is>
          <t>N</t>
        </is>
      </c>
    </row>
    <row r="324">
      <c r="A324" s="7" t="inlineStr">
        <is>
          <t>N25</t>
        </is>
      </c>
      <c r="B324" s="7" t="inlineStr">
        <is>
          <t>Bekalan air boleh diminum (potable) yang mencukupi tersedia, dengan kemudahan penyimpanan, pengagihan dan, jika perlu, kawalan suhu air yang sesuai.</t>
        </is>
      </c>
      <c r="C324" s="7" t="inlineStr">
        <is>
          <t>MS 1514 kl. 4.4.1.1</t>
        </is>
      </c>
      <c r="D324" s="7" t="inlineStr"/>
      <c r="E324" s="7" t="inlineStr"/>
      <c r="F324" t="inlineStr">
        <is>
          <t>N</t>
        </is>
      </c>
    </row>
    <row r="325">
      <c r="A325" s="7" t="inlineStr">
        <is>
          <t>N26</t>
        </is>
      </c>
      <c r="B325" s="7" t="inlineStr">
        <is>
          <t>Kualiti air boleh diminum mematuhi Peraturan-Peraturan Makanan 1985, dibuktikan melalui rekod analisis air.</t>
        </is>
      </c>
      <c r="C325" s="7" t="inlineStr">
        <is>
          <t>MS 1514 kl. 4.4.1.2</t>
        </is>
      </c>
      <c r="D325" s="7" t="inlineStr"/>
      <c r="E325" s="7" t="inlineStr"/>
      <c r="F325" t="inlineStr">
        <is>
          <t>N</t>
        </is>
      </c>
    </row>
    <row r="326">
      <c r="A326" s="7" t="inlineStr">
        <is>
          <t>N27</t>
        </is>
      </c>
      <c r="B326" s="7" t="inlineStr">
        <is>
          <t>Air tidak boleh diminum (contohnya untuk bekas berjaket, penukar haba, pemadam kebakaran, penjanaan wap dan penyejukan) menggunakan sistem yang berasingan.</t>
        </is>
      </c>
      <c r="C326" s="7" t="inlineStr">
        <is>
          <t>MS 1514 kl. 4.4.1.3</t>
        </is>
      </c>
      <c r="D326" s="7" t="inlineStr"/>
      <c r="E326" s="7" t="inlineStr"/>
      <c r="F326" t="inlineStr">
        <is>
          <t>N</t>
        </is>
      </c>
    </row>
    <row r="327">
      <c r="A327" s="7" t="inlineStr">
        <is>
          <t>N28</t>
        </is>
      </c>
      <c r="B327" s="7" t="inlineStr">
        <is>
          <t>Sistem air tidak boleh diminum dikenal pasti dengan jelas (contohnya kod warna atau label pada paip).</t>
        </is>
      </c>
      <c r="C327" s="7" t="inlineStr">
        <is>
          <t>MS 1514 kl. 4.4.1.3</t>
        </is>
      </c>
      <c r="D327" s="7" t="inlineStr"/>
      <c r="E327" s="7" t="inlineStr"/>
      <c r="F327" t="inlineStr">
        <is>
          <t>N</t>
        </is>
      </c>
    </row>
    <row r="328">
      <c r="A328" s="7" t="inlineStr">
        <is>
          <t>N29</t>
        </is>
      </c>
      <c r="B328" s="7" t="inlineStr">
        <is>
          <t>Sistem air tidak boleh diminum tidak bersambung dengan sistem air boleh diminum dan tidak membenarkan aliran balik (backflow) ke dalamnya.</t>
        </is>
      </c>
      <c r="C328" s="7" t="inlineStr">
        <is>
          <t>MS 1514 kl. 4.4.1.3</t>
        </is>
      </c>
      <c r="D328" s="7" t="inlineStr"/>
      <c r="E328" s="7" t="inlineStr"/>
      <c r="F328" t="inlineStr">
        <is>
          <t>N</t>
        </is>
      </c>
    </row>
    <row r="329">
      <c r="A329" s="7" t="inlineStr">
        <is>
          <t>N30</t>
        </is>
      </c>
      <c r="B329" s="7" t="inlineStr">
        <is>
          <t>Sistem dan kemudahan saliran yang mencukupi disediakan, direka bentuk untuk mengelakkan pencemaran, dipasang perangkap sisa makanan (food trap) jika perlu, dan disambungkan ke sistem pembetungan atau kemudahan rawatan air sisa.</t>
        </is>
      </c>
      <c r="C329" s="7" t="inlineStr">
        <is>
          <t>MS 1514 kl. 4.4.2</t>
        </is>
      </c>
      <c r="D329" s="7" t="inlineStr"/>
      <c r="E329" s="7" t="inlineStr"/>
      <c r="F329" t="inlineStr">
        <is>
          <t>N</t>
        </is>
      </c>
    </row>
    <row r="330">
      <c r="A330" s="7" t="inlineStr">
        <is>
          <t>N31</t>
        </is>
      </c>
      <c r="B330" s="7" t="inlineStr">
        <is>
          <t>Longkang terbuka atau separa terbuka direka bentuk supaya sisa tidak mengalir dari kawasan tercemar ke kawasan bersih, terutamanya kawasan pengendalian makanan berisiko tinggi.</t>
        </is>
      </c>
      <c r="C330" s="7" t="inlineStr">
        <is>
          <t>MS 1514 kl. 4.4.2</t>
        </is>
      </c>
      <c r="D330" s="7" t="inlineStr"/>
      <c r="E330" s="7" t="inlineStr"/>
      <c r="F330" t="inlineStr">
        <is>
          <t>N</t>
        </is>
      </c>
    </row>
    <row r="331">
      <c r="A331" s="7" t="inlineStr">
        <is>
          <t>N32</t>
        </is>
      </c>
      <c r="B331" s="7" t="inlineStr">
        <is>
          <t>Kemudahan penyimpanan dan pelupusan sisa yang mencukupi disediakan, serta direka bentuk dan dibina untuk mengelakkan risiko pencemaran.</t>
        </is>
      </c>
      <c r="C331" s="7" t="inlineStr">
        <is>
          <t>MS 1514 kl. 4.4.3.1</t>
        </is>
      </c>
      <c r="D331" s="7" t="inlineStr"/>
      <c r="E331" s="7" t="inlineStr"/>
      <c r="F331" t="inlineStr">
        <is>
          <t>N</t>
        </is>
      </c>
    </row>
    <row r="332">
      <c r="A332" s="7" t="inlineStr">
        <is>
          <t>N33</t>
        </is>
      </c>
      <c r="B332" s="7" t="inlineStr">
        <is>
          <t>Tapak pelupusan sisa terletak jauh daripada bangunan premis makanan untuk mengelakkan serangan perosak.</t>
        </is>
      </c>
      <c r="C332" s="7" t="inlineStr">
        <is>
          <t>MS 1514 kl. 4.4.3.2 (saranan)</t>
        </is>
      </c>
      <c r="D332" s="7" t="inlineStr"/>
      <c r="E332" s="7" t="inlineStr"/>
      <c r="F332" t="inlineStr">
        <is>
          <t>N</t>
        </is>
      </c>
    </row>
    <row r="333">
      <c r="A333" s="7" t="inlineStr">
        <is>
          <t>N34</t>
        </is>
      </c>
      <c r="B333" s="7" t="inlineStr">
        <is>
          <t>Bekas sisa, hasil sampingan dan bahan tidak boleh dimakan atau berbahaya mudah dikenal pasti, dibina dengan sesuai dan, jika perlu, diperbuat daripada bahan tidak telap air.</t>
        </is>
      </c>
      <c r="C333" s="7" t="inlineStr">
        <is>
          <t>MS 1514 kl. 4.4.3.3 (saranan)</t>
        </is>
      </c>
      <c r="D333" s="7" t="inlineStr"/>
      <c r="E333" s="7" t="inlineStr"/>
      <c r="F333" t="inlineStr">
        <is>
          <t>N</t>
        </is>
      </c>
    </row>
    <row r="334">
      <c r="A334" s="7" t="inlineStr">
        <is>
          <t>N35</t>
        </is>
      </c>
      <c r="B334" s="7" t="inlineStr">
        <is>
          <t>Bekas bahan berbahaya yang menunggu pelupusan dilabel dan, jika sesuai, boleh dikunci untuk mengelakkan pencemaran makanan secara sengaja atau tidak sengaja.</t>
        </is>
      </c>
      <c r="C334" s="7" t="inlineStr">
        <is>
          <t>MS 1514 kl. 4.4.3.4 (saranan)</t>
        </is>
      </c>
      <c r="D334" s="7" t="inlineStr"/>
      <c r="E334" s="7" t="inlineStr"/>
      <c r="F334" t="inlineStr">
        <is>
          <t>N</t>
        </is>
      </c>
    </row>
    <row r="335">
      <c r="A335" s="7" t="inlineStr">
        <is>
          <t>N36</t>
        </is>
      </c>
      <c r="B335" s="7" t="inlineStr">
        <is>
          <t>Kemudahan yang mencukupi dan dikhaskan disediakan untuk membersihkan makanan, perkakas dan peralatan (contohnya sinki khusus yang dilabel).</t>
        </is>
      </c>
      <c r="C335" s="7" t="inlineStr">
        <is>
          <t>MS 1514 kl. 4.4.4</t>
        </is>
      </c>
      <c r="D335" s="7" t="inlineStr"/>
      <c r="E335" s="7" t="inlineStr"/>
      <c r="F335" t="inlineStr">
        <is>
          <t>N</t>
        </is>
      </c>
    </row>
    <row r="336">
      <c r="A336" s="7" t="inlineStr">
        <is>
          <t>N37</t>
        </is>
      </c>
      <c r="B336" s="7" t="inlineStr">
        <is>
          <t>Kemudahan pembersihan dibekalkan dengan air panas dan air sejuk boleh diminum yang mencukupi, di mana sesuai.</t>
        </is>
      </c>
      <c r="C336" s="7" t="inlineStr">
        <is>
          <t>MS 1514 kl. 4.4.4</t>
        </is>
      </c>
      <c r="D336" s="7" t="inlineStr"/>
      <c r="E336" s="7" t="inlineStr"/>
      <c r="F336" t="inlineStr">
        <is>
          <t>N</t>
        </is>
      </c>
    </row>
    <row r="337">
      <c r="A337" s="7" t="inlineStr">
        <is>
          <t>N38</t>
        </is>
      </c>
      <c r="B337" s="7" t="inlineStr">
        <is>
          <t>Kemudahan kebersihan diri pekerja (sinki basuh tangan, tandas, bilik persalinan) ditempatkan di lokasi yang sesuai, dikhaskan untuk tujuannya dan diselenggara dengan baik.</t>
        </is>
      </c>
      <c r="C337" s="7" t="inlineStr">
        <is>
          <t>MS 1514 kl. 4.4.5 (saranan)</t>
        </is>
      </c>
      <c r="D337" s="7" t="inlineStr"/>
      <c r="E337" s="7" t="inlineStr"/>
      <c r="F337" t="inlineStr">
        <is>
          <t>N</t>
        </is>
      </c>
    </row>
    <row r="338">
      <c r="A338" s="7" t="inlineStr">
        <is>
          <t>N39</t>
        </is>
      </c>
      <c r="B338" s="7" t="inlineStr">
        <is>
          <t>Kemudahan basuh tangan mencukupi bilangannya, mudah diakses dan dibekalkan dengan air yang mengalir.</t>
        </is>
      </c>
      <c r="C338" s="7" t="inlineStr">
        <is>
          <t>MS 1514 kl. 4.4.5.1</t>
        </is>
      </c>
      <c r="D338" s="7" t="inlineStr"/>
      <c r="E338" s="7" t="inlineStr"/>
      <c r="F338" t="inlineStr">
        <is>
          <t>N</t>
        </is>
      </c>
    </row>
    <row r="339">
      <c r="A339" s="7" t="inlineStr">
        <is>
          <t>N40</t>
        </is>
      </c>
      <c r="B339" s="7" t="inlineStr">
        <is>
          <t>Sinki basuh tangan ditempatkan di lokasi di mana pekerja perlu membasuh dan/atau menyanitasi tangan (contohnya di pintu masuk kawasan pengeluaran).</t>
        </is>
      </c>
      <c r="C339" s="7" t="inlineStr">
        <is>
          <t>MS 1514 kl. 4.4.5.1</t>
        </is>
      </c>
      <c r="D339" s="7" t="inlineStr"/>
      <c r="E339" s="7" t="inlineStr"/>
      <c r="F339" t="inlineStr">
        <is>
          <t>N</t>
        </is>
      </c>
    </row>
    <row r="340">
      <c r="A340" s="7" t="inlineStr">
        <is>
          <t>N41</t>
        </is>
      </c>
      <c r="B340" s="7" t="inlineStr">
        <is>
          <t>Sinki basuh tangan diasingkan daripada sinki untuk membasuh makanan, perkakas dan peralatan.</t>
        </is>
      </c>
      <c r="C340" s="7" t="inlineStr">
        <is>
          <t>MS 1514 kl. 4.4.5.1</t>
        </is>
      </c>
      <c r="D340" s="7" t="inlineStr"/>
      <c r="E340" s="7" t="inlineStr"/>
      <c r="F340" t="inlineStr">
        <is>
          <t>N</t>
        </is>
      </c>
    </row>
    <row r="341">
      <c r="A341" s="7" t="inlineStr">
        <is>
          <t>N42</t>
        </is>
      </c>
      <c r="B341" s="7" t="inlineStr">
        <is>
          <t>Sabun pembersih tangan dan/atau sanitaiser tangan yang berkesan disediakan dalam dispenser di kemudahan basuh tangan.</t>
        </is>
      </c>
      <c r="C341" s="7" t="inlineStr">
        <is>
          <t>MS 1514 kl. 4.4.5.1</t>
        </is>
      </c>
      <c r="D341" s="7" t="inlineStr"/>
      <c r="E341" s="7" t="inlineStr"/>
      <c r="F341" t="inlineStr">
        <is>
          <t>N</t>
        </is>
      </c>
    </row>
    <row r="342">
      <c r="A342" s="7" t="inlineStr">
        <is>
          <t>N43</t>
        </is>
      </c>
      <c r="B342" s="7" t="inlineStr">
        <is>
          <t>Kemudahan pengering tangan yang sesuai disediakan (contohnya tisu pakai buang atau pengering udara).</t>
        </is>
      </c>
      <c r="C342" s="7" t="inlineStr">
        <is>
          <t>MS 1514 kl. 4.4.5.1</t>
        </is>
      </c>
      <c r="D342" s="7" t="inlineStr"/>
      <c r="E342" s="7" t="inlineStr"/>
      <c r="F342" t="inlineStr">
        <is>
          <t>N</t>
        </is>
      </c>
    </row>
    <row r="343">
      <c r="A343" s="7" t="inlineStr">
        <is>
          <t>N44</t>
        </is>
      </c>
      <c r="B343" s="7" t="inlineStr">
        <is>
          <t>Pili air basuh tangan jenis bukan kendalian tangan (contohnya sensor, injak kaki atau tuil siku) bagi mengelakkan pencemaran semula tangan yang telah dibersihkan.</t>
        </is>
      </c>
      <c r="C343" s="7" t="inlineStr">
        <is>
          <t>MS 1514 kl. 4.4.5.1</t>
        </is>
      </c>
      <c r="D343" s="7" t="inlineStr"/>
      <c r="E343" s="7" t="inlineStr"/>
      <c r="F343" t="inlineStr">
        <is>
          <t>N</t>
        </is>
      </c>
    </row>
    <row r="344">
      <c r="A344" s="7" t="inlineStr">
        <is>
          <t>N45</t>
        </is>
      </c>
      <c r="B344" s="7" t="inlineStr">
        <is>
          <t>Tong sampah di kemudahan basuh tangan dibina dan diselenggara supaya tidak mencemarkan semula tangan (contohnya penutup jenis injak kaki).</t>
        </is>
      </c>
      <c r="C344" s="7" t="inlineStr">
        <is>
          <t>MS 1514 kl. 4.4.5.1</t>
        </is>
      </c>
      <c r="D344" s="7" t="inlineStr"/>
      <c r="E344" s="7" t="inlineStr"/>
      <c r="F344" t="inlineStr">
        <is>
          <t>N</t>
        </is>
      </c>
    </row>
    <row r="345">
      <c r="A345" s="7" t="inlineStr">
        <is>
          <t>N46</t>
        </is>
      </c>
      <c r="B345" s="7" t="inlineStr">
        <is>
          <t>Tandas yang mencukupi bilangannya, mudah diakses dan mempunyai reka bentuk higienik yang sesuai disediakan untuk pekerja.</t>
        </is>
      </c>
      <c r="C345" s="7" t="inlineStr">
        <is>
          <t>MS 1514 kl. 4.4.5.2</t>
        </is>
      </c>
      <c r="D345" s="7" t="inlineStr"/>
      <c r="E345" s="7" t="inlineStr"/>
      <c r="F345" t="inlineStr">
        <is>
          <t>N</t>
        </is>
      </c>
    </row>
    <row r="346">
      <c r="A346" s="7" t="inlineStr">
        <is>
          <t>N47</t>
        </is>
      </c>
      <c r="B346" s="7" t="inlineStr">
        <is>
          <t>Tandas diselenggara dalam keadaan bersih dan sanitari (contohnya jadual dan rekod pembersihan tandas).</t>
        </is>
      </c>
      <c r="C346" s="7" t="inlineStr">
        <is>
          <t>MS 1514 kl. 4.4.5.2</t>
        </is>
      </c>
      <c r="D346" s="7" t="inlineStr"/>
      <c r="E346" s="7" t="inlineStr"/>
      <c r="F346" t="inlineStr">
        <is>
          <t>N</t>
        </is>
      </c>
    </row>
    <row r="347">
      <c r="A347" s="7" t="inlineStr">
        <is>
          <t>N48</t>
        </is>
      </c>
      <c r="B347" s="7" t="inlineStr">
        <is>
          <t>Tandas sentiasa dalam keadaan baik tanpa kerosakan.</t>
        </is>
      </c>
      <c r="C347" s="7" t="inlineStr">
        <is>
          <t>MS 1514 kl. 4.4.5.2</t>
        </is>
      </c>
      <c r="D347" s="7" t="inlineStr"/>
      <c r="E347" s="7" t="inlineStr"/>
      <c r="F347" t="inlineStr">
        <is>
          <t>N</t>
        </is>
      </c>
    </row>
    <row r="348">
      <c r="A348" s="7" t="inlineStr">
        <is>
          <t>N49</t>
        </is>
      </c>
      <c r="B348" s="7" t="inlineStr">
        <is>
          <t>Tandas dibekalkan dengan air mengalir serta kemudahan pembersihan dan pengeringan tangan yang sesuai.</t>
        </is>
      </c>
      <c r="C348" s="7" t="inlineStr">
        <is>
          <t>MS 1514 kl. 4.4.5.2</t>
        </is>
      </c>
      <c r="D348" s="7" t="inlineStr"/>
      <c r="E348" s="7" t="inlineStr"/>
      <c r="F348" t="inlineStr">
        <is>
          <t>N</t>
        </is>
      </c>
    </row>
    <row r="349">
      <c r="A349" s="7" t="inlineStr">
        <is>
          <t>N50</t>
        </is>
      </c>
      <c r="B349" s="7" t="inlineStr">
        <is>
          <t>Tandas tidak dibuka terus ke mana-mana bilik atau ruang yang digunakan untuk penyimpanan, pengeluaran atau penghidangan makanan.</t>
        </is>
      </c>
      <c r="C349" s="7" t="inlineStr">
        <is>
          <t>MS 1514 kl. 4.4.5.2</t>
        </is>
      </c>
      <c r="D349" s="7" t="inlineStr"/>
      <c r="E349" s="7" t="inlineStr"/>
      <c r="F349" t="inlineStr">
        <is>
          <t>N</t>
        </is>
      </c>
    </row>
    <row r="350">
      <c r="A350" s="7" t="inlineStr">
        <is>
          <t>N51</t>
        </is>
      </c>
      <c r="B350" s="7" t="inlineStr">
        <is>
          <t>Kemudahan menukar pakaian (bilik persalinan) disediakan untuk pengendali makanan di mana perlu.</t>
        </is>
      </c>
      <c r="C350" s="7" t="inlineStr">
        <is>
          <t>MS 1514 kl. 4.4.5.3</t>
        </is>
      </c>
      <c r="D350" s="7" t="inlineStr"/>
      <c r="E350" s="7" t="inlineStr"/>
      <c r="F350" t="inlineStr">
        <is>
          <t>N</t>
        </is>
      </c>
    </row>
    <row r="351">
      <c r="A351" s="7" t="inlineStr">
        <is>
          <t>N52</t>
        </is>
      </c>
      <c r="B351" s="7" t="inlineStr">
        <is>
          <t>Pengudaraan semula jadi atau mekanikal yang mencukupi disediakan untuk meminimumkan pencemaran bawaan udara (habuk, titisan pemeluwapan) dan mengawal suhu persekitaran, bau serta kelembapan jika perlu.</t>
        </is>
      </c>
      <c r="C351" s="7" t="inlineStr">
        <is>
          <t>MS 1514 kl. 4.4.6.1 (saranan)</t>
        </is>
      </c>
      <c r="D351" s="7" t="inlineStr"/>
      <c r="E351" s="7" t="inlineStr"/>
      <c r="F351" t="inlineStr">
        <is>
          <t>N</t>
        </is>
      </c>
    </row>
    <row r="352">
      <c r="A352" s="7" t="inlineStr">
        <is>
          <t>N53</t>
        </is>
      </c>
      <c r="B352" s="7" t="inlineStr">
        <is>
          <t>Sistem pengudaraan direka bentuk dan dibina supaya udara tidak mengalir dari kawasan tercemar ke kawasan bersih.</t>
        </is>
      </c>
      <c r="C352" s="7" t="inlineStr">
        <is>
          <t>MS 1514 kl. 4.4.6.2 (saranan)</t>
        </is>
      </c>
      <c r="D352" s="7" t="inlineStr"/>
      <c r="E352" s="7" t="inlineStr"/>
      <c r="F352" t="inlineStr">
        <is>
          <t>N</t>
        </is>
      </c>
    </row>
    <row r="353">
      <c r="A353" s="7" t="inlineStr">
        <is>
          <t>N54</t>
        </is>
      </c>
      <c r="B353" s="7" t="inlineStr">
        <is>
          <t>Sistem pengudaraan (termasuk penapis dan saluran udara) boleh diselenggara dan dibersihkan dengan sempurna bagi meminimumkan risiko pencemaran mikrobiologi bawaan udara.</t>
        </is>
      </c>
      <c r="C353" s="7" t="inlineStr">
        <is>
          <t>MS 1514 kl. 4.4.6.2 (saranan)</t>
        </is>
      </c>
      <c r="D353" s="7" t="inlineStr"/>
      <c r="E353" s="7" t="inlineStr"/>
      <c r="F353" t="inlineStr">
        <is>
          <t>N</t>
        </is>
      </c>
    </row>
    <row r="354">
      <c r="A354" s="7" t="inlineStr">
        <is>
          <t>N55</t>
        </is>
      </c>
      <c r="B354" s="7" t="inlineStr">
        <is>
          <t>Pencahayaan semula jadi atau buatan yang mencukupi disediakan, dengan keamatan yang bersesuaian dengan jenis operasi, bagi membolehkan pengeluaran dijalankan secara higienik.</t>
        </is>
      </c>
      <c r="C354" s="7" t="inlineStr">
        <is>
          <t>MS 1514 kl. 4.4.7</t>
        </is>
      </c>
      <c r="D354" s="7" t="inlineStr"/>
      <c r="E354" s="7" t="inlineStr"/>
      <c r="F354" t="inlineStr">
        <is>
          <t>N</t>
        </is>
      </c>
    </row>
    <row r="355">
      <c r="A355" s="7" t="inlineStr">
        <is>
          <t>N56</t>
        </is>
      </c>
      <c r="B355" s="7" t="inlineStr">
        <is>
          <t>Pencahayaan tidak mengelirukan warna sebenar makanan di mana perlu (contohnya di kawasan pemeriksaan produk).</t>
        </is>
      </c>
      <c r="C355" s="7" t="inlineStr">
        <is>
          <t>MS 1514 kl. 4.4.7 (saranan)</t>
        </is>
      </c>
      <c r="D355" s="7" t="inlineStr"/>
      <c r="E355" s="7" t="inlineStr"/>
      <c r="F355" t="inlineStr">
        <is>
          <t>N</t>
        </is>
      </c>
    </row>
    <row r="356">
      <c r="A356" s="7" t="inlineStr">
        <is>
          <t>N57</t>
        </is>
      </c>
      <c r="B356" s="7" t="inlineStr">
        <is>
          <t>Lekapan lampu dilindungi di mana sesuai (contohnya penutup kalis pecah) supaya makanan tidak tercemar jika lampu pecah.</t>
        </is>
      </c>
      <c r="C356" s="7" t="inlineStr">
        <is>
          <t>MS 1514 kl. 4.4.7</t>
        </is>
      </c>
      <c r="D356" s="7" t="inlineStr"/>
      <c r="E356" s="7" t="inlineStr"/>
      <c r="F356" t="inlineStr">
        <is>
          <t>N</t>
        </is>
      </c>
    </row>
    <row r="357">
      <c r="A357" s="7" t="inlineStr">
        <is>
          <t>N58</t>
        </is>
      </c>
      <c r="B357" s="7" t="inlineStr">
        <is>
          <t>Kemudahan penyimpanan yang mencukupi dan, jika perlu, berasingan disediakan untuk produk makanan, ramuan, bahan pembungkusan dan bahan kimia bukan makanan (termasuk pelincir dan bahan api).</t>
        </is>
      </c>
      <c r="C357" s="7" t="inlineStr">
        <is>
          <t>MS 1514 kl. 4.4.8.1 (saranan)</t>
        </is>
      </c>
      <c r="D357" s="7" t="inlineStr"/>
      <c r="E357" s="7" t="inlineStr"/>
      <c r="F357" t="inlineStr">
        <is>
          <t>N</t>
        </is>
      </c>
    </row>
    <row r="358">
      <c r="A358" s="7" t="inlineStr">
        <is>
          <t>N59</t>
        </is>
      </c>
      <c r="B358" s="7" t="inlineStr">
        <is>
          <t>Bahan pembersihan dan bahan berbahaya disimpan di kemudahan yang berasingan dan selamat (contohnya stor berkunci).</t>
        </is>
      </c>
      <c r="C358" s="7" t="inlineStr">
        <is>
          <t>MS 1514 kl. 4.4.8.1 (saranan)</t>
        </is>
      </c>
      <c r="D358" s="7" t="inlineStr"/>
      <c r="E358" s="7" t="inlineStr"/>
      <c r="F358" t="inlineStr">
        <is>
          <t>N</t>
        </is>
      </c>
    </row>
    <row r="359">
      <c r="A359" s="7" t="inlineStr">
        <is>
          <t>N60</t>
        </is>
      </c>
      <c r="B359" s="7" t="inlineStr">
        <is>
          <t>Kemudahan penyimpanan membolehkan pengasingan antara makanan mentah dan makanan yang telah diproses.</t>
        </is>
      </c>
      <c r="C359" s="7" t="inlineStr">
        <is>
          <t>MS 1514 kl. 4.4.8.2</t>
        </is>
      </c>
      <c r="D359" s="7" t="inlineStr"/>
      <c r="E359" s="7" t="inlineStr"/>
      <c r="F359" t="inlineStr">
        <is>
          <t>N</t>
        </is>
      </c>
    </row>
    <row r="360">
      <c r="A360" s="7" t="inlineStr">
        <is>
          <t>N61</t>
        </is>
      </c>
      <c r="B360" s="7" t="inlineStr">
        <is>
          <t>Kemudahan penyimpanan membolehkan pengasingan antara ramuan dan makanan beralergen dengan yang tidak beralergen.</t>
        </is>
      </c>
      <c r="C360" s="7" t="inlineStr">
        <is>
          <t>MS 1514 kl. 4.4.8.2</t>
        </is>
      </c>
      <c r="D360" s="7" t="inlineStr"/>
      <c r="E360" s="7" t="inlineStr"/>
      <c r="F360" t="inlineStr">
        <is>
          <t>N</t>
        </is>
      </c>
    </row>
    <row r="361">
      <c r="A361" s="7" t="inlineStr">
        <is>
          <t>N62</t>
        </is>
      </c>
      <c r="B361" s="7" t="inlineStr">
        <is>
          <t>Kemudahan penyimpanan makanan direka bentuk dan dibina untuk memudahkan penyelenggaraan dan pembersihan, menghalang kemasukan dan tempat persembunyian perosak, serta melindungi makanan daripada pencemaran semasa penyimpanan.</t>
        </is>
      </c>
      <c r="C361" s="7" t="inlineStr">
        <is>
          <t>MS 1514 kl. 4.4.8.3 (saranan)</t>
        </is>
      </c>
      <c r="D361" s="7" t="inlineStr"/>
      <c r="E361" s="7" t="inlineStr"/>
      <c r="F361" t="inlineStr">
        <is>
          <t>N</t>
        </is>
      </c>
    </row>
    <row r="362">
      <c r="A362" s="7" t="inlineStr">
        <is>
          <t>N63</t>
        </is>
      </c>
      <c r="B362" s="7" t="inlineStr">
        <is>
          <t>Kemudahan penyimpanan makanan menyediakan persekitaran yang meminimumkan kemerosotan makanan, contohnya melalui kawalan suhu dan kelembapan, jika perlu.</t>
        </is>
      </c>
      <c r="C362" s="7" t="inlineStr">
        <is>
          <t>MS 1514 kl. 4.4.8.3 (saranan)</t>
        </is>
      </c>
      <c r="D362" s="7" t="inlineStr"/>
      <c r="E362" s="7" t="inlineStr"/>
      <c r="F362" t="inlineStr">
        <is>
          <t>N</t>
        </is>
      </c>
    </row>
    <row r="363">
      <c r="A363" s="7" t="inlineStr">
        <is>
          <t>N64</t>
        </is>
      </c>
      <c r="B363" s="7" t="inlineStr">
        <is>
          <t>Kemudahan penyimpanan sejuk/beku membolehkan pengasingan antara makanan mentah dan bahan makanan yang telah diproses.</t>
        </is>
      </c>
      <c r="C363" s="7" t="inlineStr">
        <is>
          <t>MS 1514 kl. 4.4.8.4</t>
        </is>
      </c>
      <c r="D363" s="7" t="inlineStr"/>
      <c r="E363" s="7" t="inlineStr"/>
      <c r="F363" t="inlineStr">
        <is>
          <t>N</t>
        </is>
      </c>
    </row>
    <row r="364">
      <c r="A364" s="7" t="inlineStr">
        <is>
          <t>N65</t>
        </is>
      </c>
      <c r="B364" s="7" t="inlineStr">
        <is>
          <t>Kemudahan penyimpanan sejuk/beku membolehkan penyahbekuan (defrost) dilakukan apabila perlu bagi mengekalkan kecekapan penyejukan.</t>
        </is>
      </c>
      <c r="C364" s="7" t="inlineStr">
        <is>
          <t>MS 1514 kl. 4.4.8.4</t>
        </is>
      </c>
      <c r="D364" s="7" t="inlineStr"/>
      <c r="E364" s="7" t="inlineStr"/>
      <c r="F364" t="inlineStr">
        <is>
          <t>N</t>
        </is>
      </c>
    </row>
    <row r="365">
      <c r="A365" s="7" t="inlineStr">
        <is>
          <t>N66</t>
        </is>
      </c>
      <c r="B365" s="7" t="inlineStr">
        <is>
          <t>Alat pengukur dan perekod suhu di kemudahan penyimpanan sejuk/beku adalah tepat (dibuktikan melalui rekod kalibrasi atau verifikasi).</t>
        </is>
      </c>
      <c r="C365" s="7" t="inlineStr">
        <is>
          <t>MS 1514 kl. 4.4.8.4</t>
        </is>
      </c>
      <c r="D365" s="7" t="inlineStr"/>
      <c r="E365" s="7" t="inlineStr"/>
      <c r="F365" t="inlineStr">
        <is>
          <t>N</t>
        </is>
      </c>
    </row>
    <row r="366">
      <c r="A366" s="7" t="inlineStr">
        <is>
          <t>N67</t>
        </is>
      </c>
      <c r="B366" s="7" t="inlineStr">
        <is>
          <t>Kipas peniup (blower) sistem penyejukan ditempatkan jauh daripada cahaya berlebihan dan udara panas.</t>
        </is>
      </c>
      <c r="C366" s="7" t="inlineStr">
        <is>
          <t>MS 1514 kl. 4.4.8.4</t>
        </is>
      </c>
      <c r="D366" s="7" t="inlineStr"/>
      <c r="E366" s="7" t="inlineStr"/>
      <c r="F366" t="inlineStr">
        <is>
          <t>N</t>
        </is>
      </c>
    </row>
    <row r="367">
      <c r="A367" s="7" t="inlineStr">
        <is>
          <t>N68</t>
        </is>
      </c>
      <c r="B367" s="7" t="inlineStr">
        <is>
          <t>Pintu bilik sejuk dipasang dengan langsir udara (air curtain) atau kaedah berkesan lain untuk mengelakkan kehilangan udara sejuk atau kenaikan suhu secara mendadak.</t>
        </is>
      </c>
      <c r="C367" s="7" t="inlineStr">
        <is>
          <t>MS 1514 kl. 4.4.8.4</t>
        </is>
      </c>
      <c r="D367" s="7" t="inlineStr"/>
      <c r="E367" s="7" t="inlineStr"/>
      <c r="F367" t="inlineStr">
        <is>
          <t>N</t>
        </is>
      </c>
    </row>
    <row r="368">
      <c r="A368" s="4" t="inlineStr">
        <is>
          <t>Bahagian O: GMP MS 1514: Kawalan operasi</t>
        </is>
      </c>
      <c r="B368" s="5" t="n"/>
      <c r="C368" s="5" t="n"/>
      <c r="D368" s="5" t="n"/>
      <c r="E368" s="6" t="n"/>
    </row>
    <row r="369" ht="26" customHeight="1">
      <c r="A369" s="2" t="inlineStr">
        <is>
          <t>Semak kawalan bahaya, kawalan kebersihan proses, bahan masuk, bahan bungkusan, bahan tidak akur dan air mengikut MS 1514:2022 klausa 5.</t>
        </is>
      </c>
    </row>
    <row r="370">
      <c r="A370" s="7" t="inlineStr">
        <is>
          <t>O1</t>
        </is>
      </c>
      <c r="B370" s="7" t="inlineStr">
        <is>
          <t>Bahan dalam proses (work-in-process) dikendalikan dengan cara yang melindunginya daripada pencemaran, cth. ditutup, disimpan dalam bekas bersih berlabel dan tidak diletakkan terus di atas lantai.</t>
        </is>
      </c>
      <c r="C370" s="7" t="inlineStr">
        <is>
          <t>MS 1514 kl. 5.1.2</t>
        </is>
      </c>
      <c r="D370" s="7" t="inlineStr"/>
      <c r="E370" s="7" t="inlineStr"/>
      <c r="F370" t="inlineStr">
        <is>
          <t>O</t>
        </is>
      </c>
    </row>
    <row r="371">
      <c r="A371" s="7" t="inlineStr">
        <is>
          <t>O2</t>
        </is>
      </c>
      <c r="B371" s="7" t="inlineStr">
        <is>
          <t>Makanan mentah atau belum diproses yang boleh menjadi punca pencemaran diasingkan secara berkesan daripada makanan sedia dimakan, sama ada secara fizikal (kawasan, peralatan atau storan berasingan) atau mengikut masa (jadual pengeluaran).</t>
        </is>
      </c>
      <c r="C371" s="7" t="inlineStr">
        <is>
          <t>MS 1514 kl. 5.2.4.1</t>
        </is>
      </c>
      <c r="D371" s="7" t="inlineStr"/>
      <c r="E371" s="7" t="inlineStr"/>
      <c r="F371" t="inlineStr">
        <is>
          <t>O</t>
        </is>
      </c>
    </row>
    <row r="372">
      <c r="A372" s="7" t="inlineStr">
        <is>
          <t>O3</t>
        </is>
      </c>
      <c r="B372" s="7" t="inlineStr">
        <is>
          <t>Apabila makanan mentah dan makanan sedia dimakan menggunakan kawasan atau peralatan yang sama, pembersihan perantaraan yang berkesan dan, di mana sesuai, pembasmian kuman dilakukan antara kedua-duanya (semak rekod pembersihan).</t>
        </is>
      </c>
      <c r="C372" s="7" t="inlineStr">
        <is>
          <t>MS 1514 kl. 5.2.4.1</t>
        </is>
      </c>
      <c r="D372" s="7" t="inlineStr"/>
      <c r="E372" s="7" t="inlineStr"/>
      <c r="F372" t="inlineStr">
        <is>
          <t>O</t>
        </is>
      </c>
    </row>
    <row r="373">
      <c r="A373" s="7" t="inlineStr">
        <is>
          <t>O4</t>
        </is>
      </c>
      <c r="B373" s="7" t="inlineStr">
        <is>
          <t>Sistem kawalan bahan asing (cth. prosedur bertulis, polisi kaca dan plastik keras) dilaksanakan di seluruh premis untuk mencegah pencemaran makanan oleh objek keras atau tajam seperti kaca, serpihan logam, tulang, plastik, serangga dan serpihan kayu yang boleh menyebabkan kecederaan atau tercekik.</t>
        </is>
      </c>
      <c r="C373" s="7" t="inlineStr">
        <is>
          <t>MS 1514 kl. 5.2.5.1</t>
        </is>
      </c>
      <c r="D373" s="7" t="inlineStr"/>
      <c r="E373" s="7" t="inlineStr"/>
      <c r="F373" t="inlineStr">
        <is>
          <t>O</t>
        </is>
      </c>
    </row>
    <row r="374">
      <c r="A374" s="7" t="inlineStr">
        <is>
          <t>O5</t>
        </is>
      </c>
      <c r="B374" s="7" t="inlineStr">
        <is>
          <t>Langkah pencegahan bahan asing yang sesuai seperti penyelenggaraan pencegahan dan pemeriksaan berkala ke atas peralatan dan kawasan pengeluaran diwujudkan (semak jadual dan rekod penyelenggaraan/pemeriksaan sebagai bukti).</t>
        </is>
      </c>
      <c r="C374" s="7" t="inlineStr">
        <is>
          <t>MS 1514 kl. 5.2.5.2</t>
        </is>
      </c>
      <c r="D374" s="7" t="inlineStr"/>
      <c r="E374" s="7" t="inlineStr"/>
      <c r="F374" t="inlineStr">
        <is>
          <t>O</t>
        </is>
      </c>
    </row>
    <row r="375">
      <c r="A375" s="7" t="inlineStr">
        <is>
          <t>O6</t>
        </is>
      </c>
      <c r="B375" s="7" t="inlineStr">
        <is>
          <t>Alat pengesan atau penapis (cth. pengesan logam, ayak, magnet) dipasang dan berfungsi pada langkah pengeluaran yang dikenal pasti memerlukannya.</t>
        </is>
      </c>
      <c r="C375" s="7" t="inlineStr">
        <is>
          <t>MS 1514 kl. 5.2.5.2</t>
        </is>
      </c>
      <c r="D375" s="7" t="inlineStr"/>
      <c r="E375" s="7" t="inlineStr"/>
      <c r="F375" t="inlineStr">
        <is>
          <t>O</t>
        </is>
      </c>
    </row>
    <row r="376">
      <c r="A376" s="7" t="inlineStr">
        <is>
          <t>O7</t>
        </is>
      </c>
      <c r="B376" s="7" t="inlineStr">
        <is>
          <t>Semua langkah pencegahan bahan asing telah divalidasi keberkesanannya, cth. rekod ujian pengesan logam menggunakan kepingan ujian piawai dan semakan keutuhan serta saiz jaring ayak.</t>
        </is>
      </c>
      <c r="C376" s="7" t="inlineStr">
        <is>
          <t>MS 1514 kl. 5.2.5.2</t>
        </is>
      </c>
      <c r="D376" s="7" t="inlineStr"/>
      <c r="E376" s="7" t="inlineStr"/>
      <c r="F376" t="inlineStr">
        <is>
          <t>O</t>
        </is>
      </c>
    </row>
    <row r="377">
      <c r="A377" s="7" t="inlineStr">
        <is>
          <t>O8</t>
        </is>
      </c>
      <c r="B377" s="7" t="inlineStr">
        <is>
          <t>Prosedur disediakan dan dipatuhi bagi insiden pecahan (cth. pecahan kaca atau bekas plastik), contohnya meliputi pengasingan kawasan, pembersihan, pemeriksaan/pengasingan produk yang mungkin terjejas dan rekod insiden.</t>
        </is>
      </c>
      <c r="C377" s="7" t="inlineStr">
        <is>
          <t>MS 1514 kl. 5.2.5.3</t>
        </is>
      </c>
      <c r="D377" s="7" t="inlineStr"/>
      <c r="E377" s="7" t="inlineStr"/>
      <c r="F377" t="inlineStr">
        <is>
          <t>O</t>
        </is>
      </c>
    </row>
    <row r="378">
      <c r="A378" s="7" t="inlineStr">
        <is>
          <t>O9</t>
        </is>
      </c>
      <c r="B378" s="7" t="inlineStr">
        <is>
          <t>Sistem dilaksanakan untuk mencegah atau meminimumkan pencemaran makanan oleh bahan kimia berbahaya seperti bahan pencuci, pelincir dan bahan pembasmi kuman (cth. senarai bahan kimia yang diluluskan dan prosedur penggunaannya).</t>
        </is>
      </c>
      <c r="C378" s="7" t="inlineStr">
        <is>
          <t>MS 1514 kl. 5.2.6.1</t>
        </is>
      </c>
      <c r="D378" s="7" t="inlineStr"/>
      <c r="E378" s="7" t="inlineStr"/>
      <c r="F378" t="inlineStr">
        <is>
          <t>O</t>
        </is>
      </c>
    </row>
    <row r="379">
      <c r="A379" s="7" t="inlineStr">
        <is>
          <t>O10</t>
        </is>
      </c>
      <c r="B379" s="7" t="inlineStr">
        <is>
          <t>Semua bahan kimia dikenal pasti dengan jelas, iaitu disimpan dalam bekas asal berlabel atau bekas yang dilabel dengan nama bahan; tiada bahan kimia dalam bekas tanpa label atau bekas makanan.</t>
        </is>
      </c>
      <c r="C379" s="7" t="inlineStr">
        <is>
          <t>MS 1514 kl. 5.2.6.2</t>
        </is>
      </c>
      <c r="D379" s="7" t="inlineStr"/>
      <c r="E379" s="7" t="inlineStr"/>
      <c r="F379" t="inlineStr">
        <is>
          <t>O</t>
        </is>
      </c>
    </row>
    <row r="380">
      <c r="A380" s="7" t="inlineStr">
        <is>
          <t>O11</t>
        </is>
      </c>
      <c r="B380" s="7" t="inlineStr">
        <is>
          <t>Bahan kimia disimpan dengan selamat dengan cara yang melindungi makanan, permukaan sentuhan makanan dan bahan pembungkusan daripada pencemaran (cth. di kawasan atau kabinet khusus yang terkawal dan berasingan daripada makanan dan bahan pembungkusan).</t>
        </is>
      </c>
      <c r="C380" s="7" t="inlineStr">
        <is>
          <t>MS 1514 kl. 5.2.6.2</t>
        </is>
      </c>
      <c r="D380" s="7" t="inlineStr"/>
      <c r="E380" s="7" t="inlineStr"/>
      <c r="F380" t="inlineStr">
        <is>
          <t>O</t>
        </is>
      </c>
    </row>
    <row r="381">
      <c r="A381" s="7" t="inlineStr">
        <is>
          <t>O12</t>
        </is>
      </c>
      <c r="B381" s="7" t="inlineStr">
        <is>
          <t>Bahan kimia digunakan dengan cara yang tidak mencemarkan makanan, permukaan sentuhan makanan dan bahan pembungkusan, cth. mengikut arahan penggunaan dan tidak digunakan berhampiran makanan yang terdedah.</t>
        </is>
      </c>
      <c r="C381" s="7" t="inlineStr">
        <is>
          <t>MS 1514 kl. 5.2.6.2</t>
        </is>
      </c>
      <c r="D381" s="7" t="inlineStr"/>
      <c r="E381" s="7" t="inlineStr"/>
      <c r="F381" t="inlineStr">
        <is>
          <t>O</t>
        </is>
      </c>
    </row>
    <row r="382">
      <c r="A382" s="7" t="inlineStr">
        <is>
          <t>O13</t>
        </is>
      </c>
      <c r="B382" s="7" t="inlineStr">
        <is>
          <t>Sistem pengurusan alergen dilaksanakan bermula dari penerimaan bahan yang merupakan atau mengandungi alergen yang diketahui, semasa pemprosesan dan semasa penyimpanan produk (cth. senarai bahan beralergen, pelabelan dan pengasingan bahan beralergen di stor).</t>
        </is>
      </c>
      <c r="C382" s="7" t="inlineStr">
        <is>
          <t>MS 1514 kl. 5.2.7.1</t>
        </is>
      </c>
      <c r="D382" s="7" t="inlineStr"/>
      <c r="E382" s="7" t="inlineStr"/>
      <c r="F382" t="inlineStr">
        <is>
          <t>O</t>
        </is>
      </c>
    </row>
    <row r="383">
      <c r="A383" s="7" t="inlineStr">
        <is>
          <t>O14</t>
        </is>
      </c>
      <c r="B383" s="7" t="inlineStr">
        <is>
          <t>Kawalan untuk mencegah pencemaran silang daripada makanan beralergen kepada makanan lain dilaksanakan, cth. pengasingan fizikal atau mengikut masa, pembersihan dan amalan pertukaran talian, dan/atau jujukan pelan pengeluaran.</t>
        </is>
      </c>
      <c r="C383" s="7" t="inlineStr">
        <is>
          <t>MS 1514 kl. 5.2.7.2</t>
        </is>
      </c>
      <c r="D383" s="7" t="inlineStr"/>
      <c r="E383" s="7" t="inlineStr"/>
      <c r="F383" t="inlineStr">
        <is>
          <t>O</t>
        </is>
      </c>
    </row>
    <row r="384">
      <c r="A384" s="7" t="inlineStr">
        <is>
          <t>O15</t>
        </is>
      </c>
      <c r="B384" s="7" t="inlineStr">
        <is>
          <t>Bahan kerja semula (rework) yang mengandungi alergen hanya digunakan dalam produk yang mengandungi alergen yang sama mengikut reka bentuk, atau melalui proses yang terbukti menyingkirkan atau memusnahkan bahan alergen (semak rekod penggunaan rework).</t>
        </is>
      </c>
      <c r="C384" s="7" t="inlineStr">
        <is>
          <t>MS 1514 kl. 5.2.7.3</t>
        </is>
      </c>
      <c r="D384" s="7" t="inlineStr"/>
      <c r="E384" s="7" t="inlineStr"/>
      <c r="F384" t="inlineStr">
        <is>
          <t>O</t>
        </is>
      </c>
    </row>
    <row r="385">
      <c r="A385" s="7" t="inlineStr">
        <is>
          <t>O16</t>
        </is>
      </c>
      <c r="B385" s="7" t="inlineStr">
        <is>
          <t>Hanya bahan mentah dan ramuan yang sesuai untuk tujuan (cth. tidak rosak, tidak luput, memenuhi spesifikasi) digunakan dalam pengeluaran.</t>
        </is>
      </c>
      <c r="C385" s="7" t="inlineStr">
        <is>
          <t>MS 1514 kl. 5.3.1</t>
        </is>
      </c>
      <c r="D385" s="7" t="inlineStr"/>
      <c r="E385" s="7" t="inlineStr"/>
      <c r="F385" t="inlineStr">
        <is>
          <t>O</t>
        </is>
      </c>
    </row>
    <row r="386">
      <c r="A386" s="7" t="inlineStr">
        <is>
          <t>O17</t>
        </is>
      </c>
      <c r="B386" s="7" t="inlineStr">
        <is>
          <t>Bahan masuk, termasuk ramuan makanan dan bahan pembungkusan yang bersentuhan dengan makanan, diperoleh berdasarkan spesifikasi keselamatan dan kesesuaian makanan (spesifikasi bahan/pembekal tersedia).</t>
        </is>
      </c>
      <c r="C386" s="7" t="inlineStr">
        <is>
          <t>MS 1514 kl. 5.3.1</t>
        </is>
      </c>
      <c r="D386" s="7" t="inlineStr"/>
      <c r="E386" s="7" t="inlineStr"/>
      <c r="F386" t="inlineStr">
        <is>
          <t>O</t>
        </is>
      </c>
    </row>
    <row r="387">
      <c r="A387" s="7" t="inlineStr">
        <is>
          <t>O18</t>
        </is>
      </c>
      <c r="B387" s="7" t="inlineStr">
        <is>
          <t>Bahan mentah, ramuan dan bahan pembungkusan sentuhan makanan diperiksa semasa penerimaan di mana sesuai, cth. kerosakan bungkusan semasa pengangkutan, tarikh guna sebelum/luput, alergen yang diisytiharkan dan suhu bagi makanan sejuk dingin dan sejuk beku (semak rekod penerimaan).</t>
        </is>
      </c>
      <c r="C387" s="7" t="inlineStr">
        <is>
          <t>MS 1514 kl. 5.3.2</t>
        </is>
      </c>
      <c r="D387" s="7" t="inlineStr"/>
      <c r="E387" s="7" t="inlineStr"/>
      <c r="F387" t="inlineStr">
        <is>
          <t>O</t>
        </is>
      </c>
    </row>
    <row r="388">
      <c r="A388" s="7" t="inlineStr">
        <is>
          <t>O19</t>
        </is>
      </c>
      <c r="B388" s="7" t="inlineStr">
        <is>
          <t>Bahan masuk diisih sebelum pemprosesan di mana sesuai; bahan yang tidak memenuhi syarat dikenal pasti dan diasingkan daripada bahan yang diterima.</t>
        </is>
      </c>
      <c r="C388" s="7" t="inlineStr">
        <is>
          <t>MS 1514 kl. 5.3.2</t>
        </is>
      </c>
      <c r="D388" s="7" t="inlineStr"/>
      <c r="E388" s="7" t="inlineStr"/>
      <c r="F388" t="inlineStr">
        <is>
          <t>O</t>
        </is>
      </c>
    </row>
    <row r="389">
      <c r="A389" s="7" t="inlineStr">
        <is>
          <t>O20</t>
        </is>
      </c>
      <c r="B389" s="7" t="inlineStr">
        <is>
          <t>Stok bahan mentah, ramuan dan bahan pembungkusan menjalani putaran stok yang berkesan (cth. FIFO/FEFO, dengan tarikh penerimaan atau tarikh luput boleh dilihat pada stok).</t>
        </is>
      </c>
      <c r="C389" s="7" t="inlineStr">
        <is>
          <t>MS 1514 kl. 5.3.4</t>
        </is>
      </c>
      <c r="D389" s="7" t="inlineStr"/>
      <c r="E389" s="7" t="inlineStr"/>
      <c r="F389" t="inlineStr">
        <is>
          <t>O</t>
        </is>
      </c>
    </row>
    <row r="390">
      <c r="A390" s="7" t="inlineStr">
        <is>
          <t>O21</t>
        </is>
      </c>
      <c r="B390" s="7" t="inlineStr">
        <is>
          <t>Reka bentuk dan bahan pembungkusan selamat dan sesuai untuk kegunaan makanan (cth. sijil atau pengisytiharan gred makanan/kesesuaian sentuhan makanan daripada pembekal).</t>
        </is>
      </c>
      <c r="C390" s="7" t="inlineStr">
        <is>
          <t>MS 1514 kl. 5.4.1</t>
        </is>
      </c>
      <c r="D390" s="7" t="inlineStr"/>
      <c r="E390" s="7" t="inlineStr"/>
      <c r="F390" t="inlineStr">
        <is>
          <t>O</t>
        </is>
      </c>
    </row>
    <row r="391">
      <c r="A391" s="7" t="inlineStr">
        <is>
          <t>O22</t>
        </is>
      </c>
      <c r="B391" s="7" t="inlineStr">
        <is>
          <t>Pembungkusan memberi perlindungan yang mencukupi kepada produk daripada pencemaran dan mencegah kerosakan (cth. bungkusan tertutup rapi, tiada kebocoran atau kemik).</t>
        </is>
      </c>
      <c r="C391" s="7" t="inlineStr">
        <is>
          <t>MS 1514 kl. 5.4.1</t>
        </is>
      </c>
      <c r="D391" s="7" t="inlineStr"/>
      <c r="E391" s="7" t="inlineStr"/>
      <c r="F391" t="inlineStr">
        <is>
          <t>O</t>
        </is>
      </c>
    </row>
    <row r="392">
      <c r="A392" s="7" t="inlineStr">
        <is>
          <t>O23</t>
        </is>
      </c>
      <c r="B392" s="7" t="inlineStr">
        <is>
          <t>Reka bentuk pembungkusan membolehkan pelabelan yang betul, iaitu ruang mencukupi untuk maklumat label yang diperlukan.</t>
        </is>
      </c>
      <c r="C392" s="7" t="inlineStr">
        <is>
          <t>MS 1514 kl. 5.4.1</t>
        </is>
      </c>
      <c r="D392" s="7" t="inlineStr"/>
      <c r="E392" s="7" t="inlineStr"/>
      <c r="F392" t="inlineStr">
        <is>
          <t>O</t>
        </is>
      </c>
    </row>
    <row r="393">
      <c r="A393" s="7" t="inlineStr">
        <is>
          <t>O24</t>
        </is>
      </c>
      <c r="B393" s="7" t="inlineStr">
        <is>
          <t>Bahan pembungkusan atau gas pembungkusan (cth. nitrogen) yang digunakan tidak mengandungi bahan cemar toksik dan tidak menjejaskan keselamatan dan kesesuaian makanan di bawah keadaan penyimpanan dan penggunaan yang ditetapkan (cth. sijil gred makanan bagi gas).</t>
        </is>
      </c>
      <c r="C393" s="7" t="inlineStr">
        <is>
          <t>MS 1514 kl. 5.4.1</t>
        </is>
      </c>
      <c r="D393" s="7" t="inlineStr"/>
      <c r="E393" s="7" t="inlineStr"/>
      <c r="F393" t="inlineStr">
        <is>
          <t>O</t>
        </is>
      </c>
    </row>
    <row r="394">
      <c r="A394" s="7" t="inlineStr">
        <is>
          <t>O25</t>
        </is>
      </c>
      <c r="B394" s="7" t="inlineStr">
        <is>
          <t>Pembungkusan guna semula (cth. bakul, tong, krat) tahan lasak dan mudah dibersihkan.</t>
        </is>
      </c>
      <c r="C394" s="7" t="inlineStr">
        <is>
          <t>MS 1514 kl. 5.4.2</t>
        </is>
      </c>
      <c r="D394" s="7" t="inlineStr"/>
      <c r="E394" s="7" t="inlineStr"/>
      <c r="F394" t="inlineStr">
        <is>
          <t>O</t>
        </is>
      </c>
    </row>
    <row r="395">
      <c r="A395" s="7" t="inlineStr">
        <is>
          <t>O26</t>
        </is>
      </c>
      <c r="B395" s="7" t="inlineStr">
        <is>
          <t>Pembungkusan guna semula dibasmi kuman di mana perlu sebelum digunakan semula (semak prosedur dan rekod pembersihan/pembasmian kuman).</t>
        </is>
      </c>
      <c r="C395" s="7" t="inlineStr">
        <is>
          <t>MS 1514 kl. 5.4.2</t>
        </is>
      </c>
      <c r="D395" s="7" t="inlineStr"/>
      <c r="E395" s="7" t="inlineStr"/>
      <c r="F395" t="inlineStr">
        <is>
          <t>O</t>
        </is>
      </c>
    </row>
    <row r="396">
      <c r="A396" s="7" t="inlineStr">
        <is>
          <t>O27</t>
        </is>
      </c>
      <c r="B396" s="7" t="inlineStr">
        <is>
          <t>Makanan, bahan mentah dan ramuan yang tercemar dilupuskan dengan cara yang tidak mencemarkan makanan lain, cth. dilabel dan diasingkan di kawasan atau bekas khusus sebelum dilupuskan, dengan rekod pelupusan.</t>
        </is>
      </c>
      <c r="C396" s="7" t="inlineStr">
        <is>
          <t>MS 1514 kl. 5.5</t>
        </is>
      </c>
      <c r="D396" s="7" t="inlineStr"/>
      <c r="E396" s="7" t="inlineStr"/>
      <c r="F396" t="inlineStr">
        <is>
          <t>O</t>
        </is>
      </c>
    </row>
    <row r="397">
      <c r="A397" s="7" t="inlineStr">
        <is>
          <t>O28</t>
        </is>
      </c>
      <c r="B397" s="7" t="inlineStr">
        <is>
          <t>Air yang digunakan sebagai ramuan, termasuk ais dan stim (termasuk stim kulinari), atau yang bersentuhan dengan makanan dan permukaan sentuhan makanan memenuhi keperluan keselamatan makanan yang ditetapkan (cth. keputusan analisis air berkala).</t>
        </is>
      </c>
      <c r="C397" s="7" t="inlineStr">
        <is>
          <t>MS 1514 kl. 5.6</t>
        </is>
      </c>
      <c r="D397" s="7" t="inlineStr"/>
      <c r="E397" s="7" t="inlineStr"/>
      <c r="F397" t="inlineStr">
        <is>
          <t>O</t>
        </is>
      </c>
    </row>
    <row r="398">
      <c r="A398" s="7" t="inlineStr">
        <is>
          <t>O29</t>
        </is>
      </c>
      <c r="B398" s="7" t="inlineStr">
        <is>
          <t>Hanya air boleh minum digunakan dalam pengendalian dan pemprosesan makanan; air tidak boleh minum hanya digunakan untuk penghasilan stim, pemadaman kebakaran dan tujuan lain yang tidak berkaitan makanan, atau dalam proses tertentu (cth. penyejukan) dan di kawasan pengendalian makanan dengan syarat tidak menimbulkan bahaya kepada keselamatan dan kesesuaian makanan.</t>
        </is>
      </c>
      <c r="C398" s="7" t="inlineStr">
        <is>
          <t>MS 1514 kl. 5.6.1.1</t>
        </is>
      </c>
      <c r="D398" s="7" t="inlineStr"/>
      <c r="E398" s="7" t="inlineStr"/>
      <c r="F398" t="inlineStr">
        <is>
          <t>O</t>
        </is>
      </c>
    </row>
    <row r="399">
      <c r="A399" s="7" t="inlineStr">
        <is>
          <t>O30</t>
        </is>
      </c>
      <c r="B399" s="7" t="inlineStr">
        <is>
          <t>Air yang digunakan sebagai ramuan makanan ialah air boleh minum untuk mengelakkan pencemaran makanan (boleh dirawat jika diperlukan oleh proses pengeluaran).</t>
        </is>
      </c>
      <c r="C399" s="7" t="inlineStr">
        <is>
          <t>MS 1514 kl. 5.6.2.1</t>
        </is>
      </c>
      <c r="D399" s="7" t="inlineStr"/>
      <c r="E399" s="7" t="inlineStr"/>
      <c r="F399" t="inlineStr">
        <is>
          <t>O</t>
        </is>
      </c>
    </row>
    <row r="400">
      <c r="A400" s="7" t="inlineStr">
        <is>
          <t>O31</t>
        </is>
      </c>
      <c r="B400" s="7" t="inlineStr">
        <is>
          <t>Bahan mentah dan langkah operasi yang kritikal kepada keselamatan makanan dikenal pasti.</t>
        </is>
      </c>
      <c r="C400" s="7" t="inlineStr">
        <is>
          <t>MS 1514 kl. 5.1.1 (saranan)</t>
        </is>
      </c>
      <c r="D400" s="7" t="inlineStr"/>
      <c r="E400" s="7" t="inlineStr"/>
      <c r="F400" t="inlineStr">
        <is>
          <t>O</t>
        </is>
      </c>
    </row>
    <row r="401">
      <c r="A401" s="7" t="inlineStr">
        <is>
          <t>O32</t>
        </is>
      </c>
      <c r="B401" s="7" t="inlineStr">
        <is>
          <t>Prosedur kawalan yang berkesan dilaksanakan pada langkah kritikal dan dipantau untuk memastikan keberkesanannya berterusan (semak rekod pemantauan).</t>
        </is>
      </c>
      <c r="C401" s="7" t="inlineStr">
        <is>
          <t>MS 1514 kl. 5.1.1 (saranan)</t>
        </is>
      </c>
      <c r="D401" s="7" t="inlineStr"/>
      <c r="E401" s="7" t="inlineStr"/>
      <c r="F401" t="inlineStr">
        <is>
          <t>O</t>
        </is>
      </c>
    </row>
    <row r="402">
      <c r="A402" s="7" t="inlineStr">
        <is>
          <t>O33</t>
        </is>
      </c>
      <c r="B402" s="7" t="inlineStr">
        <is>
          <t>Prosedur kawalan dikaji semula secara berkala dan setiap kali berlaku perubahan operasi (semak rekod kajian semula).</t>
        </is>
      </c>
      <c r="C402" s="7" t="inlineStr">
        <is>
          <t>MS 1514 kl. 5.1.1 (saranan)</t>
        </is>
      </c>
      <c r="D402" s="7" t="inlineStr"/>
      <c r="E402" s="7" t="inlineStr"/>
      <c r="F402" t="inlineStr">
        <is>
          <t>O</t>
        </is>
      </c>
    </row>
    <row r="403">
      <c r="A403" s="7" t="inlineStr">
        <is>
          <t>O34</t>
        </is>
      </c>
      <c r="B403" s="7" t="inlineStr">
        <is>
          <t>Keperluan GMP diterapkan di seluruh premis untuk mengawal kebersihan makanan sepanjang jangka hayat produk melalui reka bentuk produk dan proses yang betul.</t>
        </is>
      </c>
      <c r="C403" s="7" t="inlineStr">
        <is>
          <t>MS 1514 kl. 5.1.2 (saranan)</t>
        </is>
      </c>
      <c r="D403" s="7" t="inlineStr"/>
      <c r="E403" s="7" t="inlineStr"/>
      <c r="F403" t="inlineStr">
        <is>
          <t>O</t>
        </is>
      </c>
    </row>
    <row r="404">
      <c r="A404" s="7" t="inlineStr">
        <is>
          <t>O35</t>
        </is>
      </c>
      <c r="B404" s="7" t="inlineStr">
        <is>
          <t>Sistem kawalan masa dan suhu diwujudkan pada langkah yang kritikal kepada keselamatan dan kesesuaian makanan (memasak, penyejukan, pemprosesan, penyimpanan) dengan mengambil kira sifat makanan (aktiviti air, pH, jenis dan tahap awal mikroorganisma), jangka hayat, kaedah pembungkusan dan pemprosesan, serta cara produk akan digunakan.</t>
        </is>
      </c>
      <c r="C404" s="7" t="inlineStr">
        <is>
          <t>MS 1514 kl. 5.2.1.1 (saranan)</t>
        </is>
      </c>
      <c r="D404" s="7" t="inlineStr"/>
      <c r="E404" s="7" t="inlineStr"/>
      <c r="F404" t="inlineStr">
        <is>
          <t>O</t>
        </is>
      </c>
    </row>
    <row r="405">
      <c r="A405" s="7" t="inlineStr">
        <is>
          <t>O36</t>
        </is>
      </c>
      <c r="B405" s="7" t="inlineStr">
        <is>
          <t>Had toleransi bagi variasi masa dan suhu ditetapkan secara bertulis.</t>
        </is>
      </c>
      <c r="C405" s="7" t="inlineStr">
        <is>
          <t>MS 1514 kl. 5.2.1.2 (saranan)</t>
        </is>
      </c>
      <c r="D405" s="7" t="inlineStr"/>
      <c r="E405" s="7" t="inlineStr"/>
      <c r="F405" t="inlineStr">
        <is>
          <t>O</t>
        </is>
      </c>
    </row>
    <row r="406">
      <c r="A406" s="7" t="inlineStr">
        <is>
          <t>O37</t>
        </is>
      </c>
      <c r="B406" s="7" t="inlineStr">
        <is>
          <t>Sistem kawalan suhu yang memberi kesan kepada keselamatan dan kesesuaian makanan dipantau (cth. log suhu yang dikemas kini).</t>
        </is>
      </c>
      <c r="C406" s="7" t="inlineStr">
        <is>
          <t>MS 1514 kl. 5.2.1.2 (saranan)</t>
        </is>
      </c>
      <c r="D406" s="7" t="inlineStr"/>
      <c r="E406" s="7" t="inlineStr"/>
      <c r="F406" t="inlineStr">
        <is>
          <t>O</t>
        </is>
      </c>
    </row>
    <row r="407">
      <c r="A407" s="7" t="inlineStr">
        <is>
          <t>O38</t>
        </is>
      </c>
      <c r="B407" s="7" t="inlineStr">
        <is>
          <t>Alat pemantauan dan perekodan suhu disemak ketepatannya dan ditentukur mengikut keperluan (semak rekod/sijil kalibrasi).</t>
        </is>
      </c>
      <c r="C407" s="7" t="inlineStr">
        <is>
          <t>MS 1514 kl. 5.2.1.2 (saranan)</t>
        </is>
      </c>
      <c r="D407" s="7" t="inlineStr"/>
      <c r="E407" s="7" t="inlineStr"/>
      <c r="F407" t="inlineStr">
        <is>
          <t>O</t>
        </is>
      </c>
    </row>
    <row r="408">
      <c r="A408" s="7" t="inlineStr">
        <is>
          <t>O39</t>
        </is>
      </c>
      <c r="B408" s="7" t="inlineStr">
        <is>
          <t>Jika formulasi (cth. pelarasan pH atau aktiviti air, penambahan pengawet) digunakan untuk mengawal patogen, sistem memastikan produk diformulasi dengan betul (cth. rekod penimbangan bahan, semakan pH/aktiviti air bagi setiap kelompok).</t>
        </is>
      </c>
      <c r="C408" s="7" t="inlineStr">
        <is>
          <t>MS 1514 kl. 5.2.2.2 (saranan)</t>
        </is>
      </c>
      <c r="D408" s="7" t="inlineStr"/>
      <c r="E408" s="7" t="inlineStr"/>
      <c r="F408" t="inlineStr">
        <is>
          <t>O</t>
        </is>
      </c>
    </row>
    <row r="409">
      <c r="A409" s="7" t="inlineStr">
        <is>
          <t>O40</t>
        </is>
      </c>
      <c r="B409" s="7" t="inlineStr">
        <is>
          <t>Spesifikasi mikrobiologi, kimia dan fizikal bagi bahan mentah dan ramuan berasaskan prinsip saintifik dan menyatakan, di mana sesuai, kaedah analisis, had penerimaan dan prosedur pemantauan.</t>
        </is>
      </c>
      <c r="C409" s="7" t="inlineStr">
        <is>
          <t>MS 1514 kl. 5.2.3 (saranan)</t>
        </is>
      </c>
      <c r="D409" s="7" t="inlineStr"/>
      <c r="E409" s="7" t="inlineStr"/>
      <c r="F409" t="inlineStr">
        <is>
          <t>O</t>
        </is>
      </c>
    </row>
    <row r="410">
      <c r="A410" s="7" t="inlineStr">
        <is>
          <t>O41</t>
        </is>
      </c>
      <c r="B410" s="7" t="inlineStr">
        <is>
          <t>Permukaan, perkakas, peralatan, lekapan dan kelengkapan dibersihkan dengan teliti dan dibasmi kuman di mana perlu selepas penyediaan makanan mentah, terutamanya selepas mengendalikan daging, ayam dan ikan.</t>
        </is>
      </c>
      <c r="C410" s="7" t="inlineStr">
        <is>
          <t>MS 1514 kl. 5.2.4.2 (saranan)</t>
        </is>
      </c>
      <c r="D410" s="7" t="inlineStr"/>
      <c r="E410" s="7" t="inlineStr"/>
      <c r="F410" t="inlineStr">
        <is>
          <t>O</t>
        </is>
      </c>
    </row>
    <row r="411">
      <c r="A411" s="7" t="inlineStr">
        <is>
          <t>O42</t>
        </is>
      </c>
      <c r="B411" s="7" t="inlineStr">
        <is>
          <t>Bagi operasi berisiko tinggi, akses ke kawasan pemprosesan dikawal dan hanya melalui kemudahan persalinan yang direka dengan betul (cth. pakaian pelindung bersih, penutup kepala, kasut khusus dan basuh tangan sebelum masuk).</t>
        </is>
      </c>
      <c r="C411" s="7" t="inlineStr">
        <is>
          <t>MS 1514 kl. 5.2.4.3 (saranan)</t>
        </is>
      </c>
      <c r="D411" s="7" t="inlineStr"/>
      <c r="E411" s="7" t="inlineStr"/>
      <c r="F411" t="inlineStr">
        <is>
          <t>O</t>
        </is>
      </c>
    </row>
    <row r="412">
      <c r="A412" s="7" t="inlineStr">
        <is>
          <t>O43</t>
        </is>
      </c>
      <c r="B412" s="7" t="inlineStr">
        <is>
          <t>Jika pencemaran silang alergen tidak dapat dicegah walaupun kawalan telah dilaksanakan, pengguna dimaklumkan (cth. pernyataan amaran alergen pada label).</t>
        </is>
      </c>
      <c r="C412" s="7" t="inlineStr">
        <is>
          <t>MS 1514 kl. 5.2.7.4 (saranan)</t>
        </is>
      </c>
      <c r="D412" s="7" t="inlineStr"/>
      <c r="E412" s="7" t="inlineStr"/>
      <c r="F412" t="inlineStr">
        <is>
          <t>O</t>
        </is>
      </c>
    </row>
    <row r="413">
      <c r="A413" s="7" t="inlineStr">
        <is>
          <t>O44</t>
        </is>
      </c>
      <c r="B413" s="7" t="inlineStr">
        <is>
          <t>Pematuhan bahan masuk terhadap spesifikasi disahkan di mana perlu melalui ujian makmal atau Sijil Analisis (COA) daripada pembekal (juga 5.3.1).</t>
        </is>
      </c>
      <c r="C413" s="7" t="inlineStr">
        <is>
          <t>MS 1514 kl. 5.3.3 (saranan)</t>
        </is>
      </c>
      <c r="D413" s="7" t="inlineStr"/>
      <c r="E413" s="7" t="inlineStr"/>
      <c r="F413" t="inlineStr">
        <is>
          <t>O</t>
        </is>
      </c>
    </row>
    <row r="414">
      <c r="A414" s="7" t="inlineStr">
        <is>
          <t>O45</t>
        </is>
      </c>
      <c r="B414" s="7" t="inlineStr">
        <is>
          <t>Bahan masuk yang diketahui mengandungi bahan cemar kimia, fizikal atau mikrobiologi yang tidak dapat dikurangkan ke tahap boleh terima melalui pengisihan atau pemprosesan ditolak (semak rekod penolakan).</t>
        </is>
      </c>
      <c r="C414" s="7" t="inlineStr">
        <is>
          <t>MS 1514 kl. 5.3.3 (saranan)</t>
        </is>
      </c>
      <c r="D414" s="7" t="inlineStr"/>
      <c r="E414" s="7" t="inlineStr"/>
      <c r="F414" t="inlineStr">
        <is>
          <t>O</t>
        </is>
      </c>
    </row>
    <row r="415">
      <c r="A415" s="7" t="inlineStr">
        <is>
          <t>O46</t>
        </is>
      </c>
      <c r="B415" s="7" t="inlineStr">
        <is>
          <t>Rekod maklumat utama bahan masuk disimpan, termasuk butiran pembekal, tarikh penerimaan dan kuantiti.</t>
        </is>
      </c>
      <c r="C415" s="7" t="inlineStr">
        <is>
          <t>MS 1514 kl. 5.3.6 (saranan)</t>
        </is>
      </c>
      <c r="D415" s="7" t="inlineStr"/>
      <c r="E415" s="7" t="inlineStr"/>
      <c r="F415" t="inlineStr">
        <is>
          <t>O</t>
        </is>
      </c>
    </row>
    <row r="416">
      <c r="A416" s="7" t="inlineStr">
        <is>
          <t>O47</t>
        </is>
      </c>
      <c r="B416" s="7" t="inlineStr">
        <is>
          <t>Air yang dikitar semula untuk diguna semula dirawat dan diselenggara supaya tidak menimbulkan risiko kepada keselamatan dan kesesuaian makanan, dan proses rawatannya dipantau dengan berkesan (semak rekod pemantauan).</t>
        </is>
      </c>
      <c r="C416" s="7" t="inlineStr">
        <is>
          <t>MS 1514 kl. 5.6.1.2 (saranan)</t>
        </is>
      </c>
      <c r="D416" s="7" t="inlineStr"/>
      <c r="E416" s="7" t="inlineStr"/>
      <c r="F416" t="inlineStr">
        <is>
          <t>O</t>
        </is>
      </c>
    </row>
    <row r="417">
      <c r="A417" s="7" t="inlineStr">
        <is>
          <t>O48</t>
        </is>
      </c>
      <c r="B417" s="7" t="inlineStr">
        <is>
          <t>Ais dan stim dihasilkan, dikendalikan dan disimpan dengan cara yang melindunginya daripada pencemaran (cth. mesin ais bersih, bekas ais bertutup, senduk khusus).</t>
        </is>
      </c>
      <c r="C417" s="7" t="inlineStr">
        <is>
          <t>MS 1514 kl. 5.6.2.2 (saranan)</t>
        </is>
      </c>
      <c r="D417" s="7" t="inlineStr"/>
      <c r="E417" s="7" t="inlineStr"/>
      <c r="F417" t="inlineStr">
        <is>
          <t>O</t>
        </is>
      </c>
    </row>
    <row r="418">
      <c r="A418" s="4" t="inlineStr">
        <is>
          <t>Bahagian P: GMP MS 1514: Penyelenggaraan, pembersihan dan sanitasi</t>
        </is>
      </c>
      <c r="B418" s="5" t="n"/>
      <c r="C418" s="5" t="n"/>
      <c r="D418" s="5" t="n"/>
      <c r="E418" s="6" t="n"/>
    </row>
    <row r="419" ht="26" customHeight="1">
      <c r="A419" s="2" t="inlineStr">
        <is>
          <t>Semak program pembersihan, penyelenggaraan, kawalan perosak dan pengurusan sisa mengikut MS 1514:2022 klausa 6.</t>
        </is>
      </c>
    </row>
    <row r="420">
      <c r="A420" s="7" t="inlineStr">
        <is>
          <t>P1</t>
        </is>
      </c>
      <c r="B420" s="7" t="inlineStr">
        <is>
          <t>Program pembersihan diwujudkan dan meliputi semua bahagian premis. Semasa pemeriksaan tapak, semua kawasan (pengeluaran, stor, tandas, kawasan sokongan) didapati bersih pada tahap yang sesuai.</t>
        </is>
      </c>
      <c r="C420" s="7" t="inlineStr">
        <is>
          <t>MS 1514 kl. 6.1.1</t>
        </is>
      </c>
      <c r="D420" s="7" t="inlineStr"/>
      <c r="E420" s="7" t="inlineStr"/>
      <c r="F420" t="inlineStr">
        <is>
          <t>P</t>
        </is>
      </c>
    </row>
    <row r="421">
      <c r="A421" s="7" t="inlineStr">
        <is>
          <t>P2</t>
        </is>
      </c>
      <c r="B421" s="7" t="inlineStr">
        <is>
          <t>Program pembersihan turut merangkumi pembersihan peralatan pembersihan itu sendiri (cth. mop, berus, penyapu, baldi), dan peralatan tersebut didapati bersih.</t>
        </is>
      </c>
      <c r="C421" s="7" t="inlineStr">
        <is>
          <t>MS 1514 kl. 6.1.1 (saranan)</t>
        </is>
      </c>
      <c r="D421" s="7" t="inlineStr"/>
      <c r="E421" s="7" t="inlineStr"/>
      <c r="F421" t="inlineStr">
        <is>
          <t>P</t>
        </is>
      </c>
    </row>
    <row r="422">
      <c r="A422" s="7" t="inlineStr">
        <is>
          <t>P3</t>
        </is>
      </c>
      <c r="B422" s="7" t="inlineStr">
        <is>
          <t>Program pembersihan didokumenkan (cth. prosedur atau jadual pembersihan bertulis).</t>
        </is>
      </c>
      <c r="C422" s="7" t="inlineStr">
        <is>
          <t>MS 1514 kl. 6.1.2</t>
        </is>
      </c>
      <c r="D422" s="7" t="inlineStr"/>
      <c r="E422" s="7" t="inlineStr"/>
      <c r="F422" t="inlineStr">
        <is>
          <t>P</t>
        </is>
      </c>
    </row>
    <row r="423">
      <c r="A423" s="7" t="inlineStr">
        <is>
          <t>P4</t>
        </is>
      </c>
      <c r="B423" s="7" t="inlineStr">
        <is>
          <t>Program pembersihan dipantau secara berterusan dan berkesan untuk menilai kesesuaian dan keberkesanannya, dan rekod pemantauan disimpan (cth. senarai semak pembersihan yang ditandatangani).</t>
        </is>
      </c>
      <c r="C423" s="7" t="inlineStr">
        <is>
          <t>MS 1514 kl. 6.1.2</t>
        </is>
      </c>
      <c r="D423" s="7" t="inlineStr"/>
      <c r="E423" s="7" t="inlineStr"/>
      <c r="F423" t="inlineStr">
        <is>
          <t>P</t>
        </is>
      </c>
    </row>
    <row r="424">
      <c r="A424" s="7" t="inlineStr">
        <is>
          <t>P5</t>
        </is>
      </c>
      <c r="B424" s="7" t="inlineStr">
        <is>
          <t>Dokumen program pembersihan menyatakan: (a) kawasan, perkakas dan peralatan yang perlu dibersihkan termasuk permukaan sentuhan makanan; (b) orang yang bertanggungjawab bagi setiap tugas; (c) kaedah dan kekerapan pembersihan; dan (d) pengaturan pemantauan dan pengesahan.</t>
        </is>
      </c>
      <c r="C424" s="7" t="inlineStr">
        <is>
          <t>MS 1514 kl. 6.1.2</t>
        </is>
      </c>
      <c r="D424" s="7" t="inlineStr"/>
      <c r="E424" s="7" t="inlineStr"/>
      <c r="F424" t="inlineStr">
        <is>
          <t>P</t>
        </is>
      </c>
    </row>
    <row r="425">
      <c r="A425" s="7" t="inlineStr">
        <is>
          <t>P6</t>
        </is>
      </c>
      <c r="B425" s="7" t="inlineStr">
        <is>
          <t>Jika sesuai, program pembersihan dirangka dengan rujukan kepada pakar atau penasihat berkaitan (cth. pembekal bahan kimia pembersihan), dan bukti rundingan tersebut tersedia.</t>
        </is>
      </c>
      <c r="C425" s="7" t="inlineStr">
        <is>
          <t>MS 1514 kl. 6.1.2 (saranan)</t>
        </is>
      </c>
      <c r="D425" s="7" t="inlineStr"/>
      <c r="E425" s="7" t="inlineStr"/>
      <c r="F425" t="inlineStr">
        <is>
          <t>P</t>
        </is>
      </c>
    </row>
    <row r="426">
      <c r="A426" s="7" t="inlineStr">
        <is>
          <t>P7</t>
        </is>
      </c>
      <c r="B426" s="7" t="inlineStr">
        <is>
          <t>Semua permukaan sentuhan makanan, termasuk perkakas dan permukaan sentuhan makanan pada peralatan, dibersihkan mengikut kekerapan yang mencukupi untuk mencegah pencemaran makanan; kekerapan ditetapkan dan rekod pembersihan tersedia.</t>
        </is>
      </c>
      <c r="C426" s="7" t="inlineStr">
        <is>
          <t>MS 1514 kl. 6.1.3</t>
        </is>
      </c>
      <c r="D426" s="7" t="inlineStr"/>
      <c r="E426" s="7" t="inlineStr"/>
      <c r="F426" t="inlineStr">
        <is>
          <t>P</t>
        </is>
      </c>
    </row>
    <row r="427">
      <c r="A427" s="7" t="inlineStr">
        <is>
          <t>P8</t>
        </is>
      </c>
      <c r="B427" s="7" t="inlineStr">
        <is>
          <t>Permukaan sentuhan makanan yang digunakan untuk mengilang atau menyimpan makanan rendah lembapan berada dalam keadaan kering dan bersih (sanitari) semasa digunakan.</t>
        </is>
      </c>
      <c r="C427" s="7" t="inlineStr">
        <is>
          <t>MS 1514 kl. 6.1.3(a)</t>
        </is>
      </c>
      <c r="D427" s="7" t="inlineStr"/>
      <c r="E427" s="7" t="inlineStr"/>
      <c r="F427" t="inlineStr">
        <is>
          <t>P</t>
        </is>
      </c>
    </row>
    <row r="428">
      <c r="A428" s="7" t="inlineStr">
        <is>
          <t>P9</t>
        </is>
      </c>
      <c r="B428" s="7" t="inlineStr">
        <is>
          <t>Apabila permukaan sentuhan makanan untuk makanan rendah lembapan dicuci basah, permukaan tersebut disanitasi (jika perlu) dan dikeringkan sepenuhnya sebelum digunakan semula.</t>
        </is>
      </c>
      <c r="C428" s="7" t="inlineStr">
        <is>
          <t>MS 1514 kl. 6.1.3(a)</t>
        </is>
      </c>
      <c r="D428" s="7" t="inlineStr"/>
      <c r="E428" s="7" t="inlineStr"/>
      <c r="F428" t="inlineStr">
        <is>
          <t>P</t>
        </is>
      </c>
    </row>
    <row r="429">
      <c r="A429" s="7" t="inlineStr">
        <is>
          <t>P10</t>
        </is>
      </c>
      <c r="B429" s="7" t="inlineStr">
        <is>
          <t>Dalam pemprosesan basah, apabila pembersihan diperlukan untuk mencegah kemasukan mikroorganisma ke dalam makanan, semua permukaan sentuhan makanan dibersihkan dan disanitasi sebelum digunakan dan selepas setiap gangguan operasi yang mungkin menyebabkan permukaan tersebut tercemar (cth. rehat, kerosakan mesin, pertukaran produk); rekod tersedia.</t>
        </is>
      </c>
      <c r="C429" s="7" t="inlineStr">
        <is>
          <t>MS 1514 kl. 6.1.3(b)</t>
        </is>
      </c>
      <c r="D429" s="7" t="inlineStr"/>
      <c r="E429" s="7" t="inlineStr"/>
      <c r="F429" t="inlineStr">
        <is>
          <t>P</t>
        </is>
      </c>
    </row>
    <row r="430">
      <c r="A430" s="7" t="inlineStr">
        <is>
          <t>P11</t>
        </is>
      </c>
      <c r="B430" s="7" t="inlineStr">
        <is>
          <t>Bagi peralatan dan perkakas yang digunakan dalam operasi pengeluaran berterusan, perkakas dan permukaan sentuhan makanan pada peralatan dibersihkan dan disanitasi sekerap yang perlu (cth. pada selang masa yang ditetapkan), dan rekod pembersihan semasa pengeluaran disimpan.</t>
        </is>
      </c>
      <c r="C430" s="7" t="inlineStr">
        <is>
          <t>MS 1514 kl. 6.1.3(b)</t>
        </is>
      </c>
      <c r="D430" s="7" t="inlineStr"/>
      <c r="E430" s="7" t="inlineStr"/>
      <c r="F430" t="inlineStr">
        <is>
          <t>P</t>
        </is>
      </c>
    </row>
    <row r="431">
      <c r="A431" s="7" t="inlineStr">
        <is>
          <t>P12</t>
        </is>
      </c>
      <c r="B431" s="7" t="inlineStr">
        <is>
          <t>Permukaan bukan sentuhan makanan pada peralatan (cth. rangka mesin, panel kawalan, bahagian bawah peralatan) dibersihkan sekerap yang perlu untuk mencegah pencemaran makanan.</t>
        </is>
      </c>
      <c r="C431" s="7" t="inlineStr">
        <is>
          <t>MS 1514 kl. 6.1.3(c) (saranan)</t>
        </is>
      </c>
      <c r="D431" s="7" t="inlineStr"/>
      <c r="E431" s="7" t="inlineStr"/>
      <c r="F431" t="inlineStr">
        <is>
          <t>P</t>
        </is>
      </c>
    </row>
    <row r="432">
      <c r="A432" s="7" t="inlineStr">
        <is>
          <t>P13</t>
        </is>
      </c>
      <c r="B432" s="7" t="inlineStr">
        <is>
          <t>Barangan sekali guna (cth. perkakas pakai buang, cawan kertas, tuala kertas) disimpan dalam bekas yang sesuai.</t>
        </is>
      </c>
      <c r="C432" s="7" t="inlineStr">
        <is>
          <t>MS 1514 kl. 6.1.3(d) (saranan)</t>
        </is>
      </c>
      <c r="D432" s="7" t="inlineStr"/>
      <c r="E432" s="7" t="inlineStr"/>
      <c r="F432" t="inlineStr">
        <is>
          <t>P</t>
        </is>
      </c>
    </row>
    <row r="433">
      <c r="A433" s="7" t="inlineStr">
        <is>
          <t>P14</t>
        </is>
      </c>
      <c r="B433" s="7" t="inlineStr">
        <is>
          <t>Barangan sekali guna dikendalikan, diagihkan, digunakan dan dilupuskan dengan cara yang melindungi makanan dan permukaan sentuhan makanan daripada pencemaran (cth. tidak digunakan semula, dispenser bersih).</t>
        </is>
      </c>
      <c r="C433" s="7" t="inlineStr">
        <is>
          <t>MS 1514 kl. 6.1.3(d)</t>
        </is>
      </c>
      <c r="D433" s="7" t="inlineStr"/>
      <c r="E433" s="7" t="inlineStr"/>
      <c r="F433" t="inlineStr">
        <is>
          <t>P</t>
        </is>
      </c>
    </row>
    <row r="434">
      <c r="A434" s="7" t="inlineStr">
        <is>
          <t>P15</t>
        </is>
      </c>
      <c r="B434" s="7" t="inlineStr">
        <is>
          <t>Agen sanitasi yang digunakan berkesan dan selamat dalam keadaan penggunaan sebenar (cth. diluluskan untuk kegunaan makanan, kepekatan disediakan dan disemak mengikut spesifikasi, SDS tersedia).</t>
        </is>
      </c>
      <c r="C434" s="7" t="inlineStr">
        <is>
          <t>MS 1514 kl. 6.1.3(e)</t>
        </is>
      </c>
      <c r="D434" s="7" t="inlineStr"/>
      <c r="E434" s="7" t="inlineStr"/>
      <c r="F434" t="inlineStr">
        <is>
          <t>P</t>
        </is>
      </c>
    </row>
    <row r="435">
      <c r="A435" s="7" t="inlineStr">
        <is>
          <t>P16</t>
        </is>
      </c>
      <c r="B435" s="7" t="inlineStr">
        <is>
          <t>Bagi sebarang fasiliti, prosedur atau mesin yang digunakan untuk membersih dan menyanitasi peralatan dan perkakas (cth. sistem CIP, mesin basuh), terdapat bukti bahawa ia secara rutin menghasilkan peralatan dan perkakas yang bersih dan disanitasi dengan secukupnya (cth. rekod validasi atau verifikasi).</t>
        </is>
      </c>
      <c r="C435" s="7" t="inlineStr">
        <is>
          <t>MS 1514 kl. 6.1.3(e) (saranan)</t>
        </is>
      </c>
      <c r="D435" s="7" t="inlineStr"/>
      <c r="E435" s="7" t="inlineStr"/>
      <c r="F435" t="inlineStr">
        <is>
          <t>P</t>
        </is>
      </c>
    </row>
    <row r="436">
      <c r="A436" s="7" t="inlineStr">
        <is>
          <t>P17</t>
        </is>
      </c>
      <c r="B436" s="7" t="inlineStr">
        <is>
          <t>Bahan kimia pembersihan dan sanitasi dikendalikan dan digunakan dengan berhati-hati mengikut arahan pengilang (cth. kadar pencairan, PPE) dan disimpan dengan selamat.</t>
        </is>
      </c>
      <c r="C436" s="7" t="inlineStr">
        <is>
          <t>MS 1514 kl. 6.1.4 (saranan)</t>
        </is>
      </c>
      <c r="D436" s="7" t="inlineStr"/>
      <c r="E436" s="7" t="inlineStr"/>
      <c r="F436" t="inlineStr">
        <is>
          <t>P</t>
        </is>
      </c>
    </row>
    <row r="437">
      <c r="A437" s="7" t="inlineStr">
        <is>
          <t>P18</t>
        </is>
      </c>
      <c r="B437" s="7" t="inlineStr">
        <is>
          <t>Bahan kimia toksik, agen sanitasi dan racun perosak dikenal pasti dan disimpan dalam bekas yang berlabel jelas (tiada bahan kimia dalam bekas tanpa label atau bekas makanan).</t>
        </is>
      </c>
      <c r="C437" s="7" t="inlineStr">
        <is>
          <t>MS 1514 kl. 6.1.4</t>
        </is>
      </c>
      <c r="D437" s="7" t="inlineStr"/>
      <c r="E437" s="7" t="inlineStr"/>
      <c r="F437" t="inlineStr">
        <is>
          <t>P</t>
        </is>
      </c>
    </row>
    <row r="438">
      <c r="A438" s="7" t="inlineStr">
        <is>
          <t>P19</t>
        </is>
      </c>
      <c r="B438" s="7" t="inlineStr">
        <is>
          <t>Bahan kimia toksik, agen sanitasi dan racun perosak disimpan berasingan daripada makanan, permukaan sentuhan makanan dan bahan pembungkusan makanan.</t>
        </is>
      </c>
      <c r="C438" s="7" t="inlineStr">
        <is>
          <t>MS 1514 kl. 6.1.4</t>
        </is>
      </c>
      <c r="D438" s="7" t="inlineStr"/>
      <c r="E438" s="7" t="inlineStr"/>
      <c r="F438" t="inlineStr">
        <is>
          <t>P</t>
        </is>
      </c>
    </row>
    <row r="439">
      <c r="A439" s="7" t="inlineStr">
        <is>
          <t>P20</t>
        </is>
      </c>
      <c r="B439" s="7" t="inlineStr">
        <is>
          <t>Bahan kimia toksik, agen sanitasi dan racun perosak disimpan di tempat berkunci.</t>
        </is>
      </c>
      <c r="C439" s="7" t="inlineStr">
        <is>
          <t>MS 1514 kl. 6.1.4</t>
        </is>
      </c>
      <c r="D439" s="7" t="inlineStr"/>
      <c r="E439" s="7" t="inlineStr"/>
      <c r="F439" t="inlineStr">
        <is>
          <t>P</t>
        </is>
      </c>
    </row>
    <row r="440">
      <c r="A440" s="7" t="inlineStr">
        <is>
          <t>P21</t>
        </is>
      </c>
      <c r="B440" s="7" t="inlineStr">
        <is>
          <t>Akses kepada bahan kimia tersebut dikawal dan terhad kepada kakitangan yang diberi kuasa (cth. senarai pemegang kunci, log pengeluaran bahan kimia).</t>
        </is>
      </c>
      <c r="C440" s="7" t="inlineStr">
        <is>
          <t>MS 1514 kl. 6.1.4</t>
        </is>
      </c>
      <c r="D440" s="7" t="inlineStr"/>
      <c r="E440" s="7" t="inlineStr"/>
      <c r="F440" t="inlineStr">
        <is>
          <t>P</t>
        </is>
      </c>
    </row>
    <row r="441">
      <c r="A441" s="7" t="inlineStr">
        <is>
          <t>P22</t>
        </is>
      </c>
      <c r="B441" s="7" t="inlineStr">
        <is>
          <t>Bilik stor bahan kimia mempunyai pengudaraan yang mencukupi.</t>
        </is>
      </c>
      <c r="C441" s="7" t="inlineStr">
        <is>
          <t>MS 1514 kl. 6.1.4 (saranan)</t>
        </is>
      </c>
      <c r="D441" s="7" t="inlineStr"/>
      <c r="E441" s="7" t="inlineStr"/>
      <c r="F441" t="inlineStr">
        <is>
          <t>P</t>
        </is>
      </c>
    </row>
    <row r="442">
      <c r="A442" s="7" t="inlineStr">
        <is>
          <t>P23</t>
        </is>
      </c>
      <c r="B442" s="7" t="inlineStr">
        <is>
          <t>Program penyelenggaraan pencegahan dipantau secara berterusan dan didokumenkan jika perlu untuk memastikan keberkesanannya dalam mengawal bahaya keselamatan makanan (cth. jadual PM dan rekod pelaksanaan).</t>
        </is>
      </c>
      <c r="C442" s="7" t="inlineStr">
        <is>
          <t>MS 1514 kl. 6.2.1 (saranan)</t>
        </is>
      </c>
      <c r="D442" s="7" t="inlineStr"/>
      <c r="E442" s="7" t="inlineStr"/>
      <c r="F442" t="inlineStr">
        <is>
          <t>P</t>
        </is>
      </c>
    </row>
    <row r="443">
      <c r="A443" s="7" t="inlineStr">
        <is>
          <t>P24</t>
        </is>
      </c>
      <c r="B443" s="7" t="inlineStr">
        <is>
          <t>Program penyelenggaraan bertulis (jika digunakan) menyatakan: (a) kawasan, peralatan dan perkakas yang terlibat; (b) tanggungjawab bagi setiap tugas; (c) kaedah dan kekerapan penyelenggaraan; dan (d) pengaturan pemantauan.</t>
        </is>
      </c>
      <c r="C443" s="7" t="inlineStr">
        <is>
          <t>MS 1514 kl. 6.2.1 (saranan)</t>
        </is>
      </c>
      <c r="D443" s="7" t="inlineStr"/>
      <c r="E443" s="7" t="inlineStr"/>
      <c r="F443" t="inlineStr">
        <is>
          <t>P</t>
        </is>
      </c>
    </row>
    <row r="444">
      <c r="A444" s="7" t="inlineStr">
        <is>
          <t>P25</t>
        </is>
      </c>
      <c r="B444" s="7" t="inlineStr">
        <is>
          <t>Penyelenggaraan pembaikan dijalankan dengan cara yang tidak mendedahkan talian pengeluaran atau peralatan bersebelahan kepada risiko pencemaran (cth. penghadang, penutupan produk terdedah, kawalan permit kerja).</t>
        </is>
      </c>
      <c r="C444" s="7" t="inlineStr">
        <is>
          <t>MS 1514 kl. 6.2.2</t>
        </is>
      </c>
      <c r="D444" s="7" t="inlineStr"/>
      <c r="E444" s="7" t="inlineStr"/>
      <c r="F444" t="inlineStr">
        <is>
          <t>P</t>
        </is>
      </c>
    </row>
    <row r="445">
      <c r="A445" s="7" t="inlineStr">
        <is>
          <t>P26</t>
        </is>
      </c>
      <c r="B445" s="7" t="inlineStr">
        <is>
          <t>Pelincir dan cecair pemindahan haba yang digunakan adalah gred makanan di mana terdapat risiko sentuhan langsung atau tidak langsung dengan produk (sijil atau spesifikasi gred makanan tersedia).</t>
        </is>
      </c>
      <c r="C445" s="7" t="inlineStr">
        <is>
          <t>MS 1514 kl. 6.2.3 (saranan)</t>
        </is>
      </c>
      <c r="D445" s="7" t="inlineStr"/>
      <c r="E445" s="7" t="inlineStr"/>
      <c r="F445" t="inlineStr">
        <is>
          <t>P</t>
        </is>
      </c>
    </row>
    <row r="446">
      <c r="A446" s="7" t="inlineStr">
        <is>
          <t>P27</t>
        </is>
      </c>
      <c r="B446" s="7" t="inlineStr">
        <is>
          <t>Prosedur pelepasan semula peralatan yang telah diselenggara kepada pengeluaran merangkumi pembersihan dan sanitasi mengikut prosedur pembersihan serta pemeriksaan sebelum guna, dan rekod pelepasan peralatan tersedia.</t>
        </is>
      </c>
      <c r="C446" s="7" t="inlineStr">
        <is>
          <t>MS 1514 kl. 6.2.4</t>
        </is>
      </c>
      <c r="D446" s="7" t="inlineStr"/>
      <c r="E446" s="7" t="inlineStr"/>
      <c r="F446" t="inlineStr">
        <is>
          <t>P</t>
        </is>
      </c>
    </row>
    <row r="447">
      <c r="A447" s="7" t="inlineStr">
        <is>
          <t>P28</t>
        </is>
      </c>
      <c r="B447" s="7" t="inlineStr">
        <is>
          <t>Bangunan, lekapan dan kemudahan fizikal lain di premis diselenggara dalam keadaan bersih dan sanitari.</t>
        </is>
      </c>
      <c r="C447" s="7" t="inlineStr">
        <is>
          <t>MS 1514 kl. 6.2.5</t>
        </is>
      </c>
      <c r="D447" s="7" t="inlineStr"/>
      <c r="E447" s="7" t="inlineStr"/>
      <c r="F447" t="inlineStr">
        <is>
          <t>P</t>
        </is>
      </c>
    </row>
    <row r="448">
      <c r="A448" s="7" t="inlineStr">
        <is>
          <t>P29</t>
        </is>
      </c>
      <c r="B448" s="7" t="inlineStr">
        <is>
          <t>Bangunan, lekapan dan kemudahan fizikal lain berada dalam keadaan baik (cth. tiada retakan, kebocoran, cat mengelupas atau kerosakan struktur).</t>
        </is>
      </c>
      <c r="C448" s="7" t="inlineStr">
        <is>
          <t>MS 1514 kl. 6.2.5</t>
        </is>
      </c>
      <c r="D448" s="7" t="inlineStr"/>
      <c r="E448" s="7" t="inlineStr"/>
      <c r="F448" t="inlineStr">
        <is>
          <t>P</t>
        </is>
      </c>
    </row>
    <row r="449">
      <c r="A449" s="7" t="inlineStr">
        <is>
          <t>P30</t>
        </is>
      </c>
      <c r="B449" s="7" t="inlineStr">
        <is>
          <t>Kerja penyelenggaraan dijalankan dengan cara yang melindungi makanan, permukaan sentuhan makanan dan bahan pembungkusan makanan daripada pencemaran (cth. kawalan alat, serpihan dan habuk, pembersihan selepas kerja).</t>
        </is>
      </c>
      <c r="C449" s="7" t="inlineStr">
        <is>
          <t>MS 1514 kl. 6.2.5</t>
        </is>
      </c>
      <c r="D449" s="7" t="inlineStr"/>
      <c r="E449" s="7" t="inlineStr"/>
      <c r="F449" t="inlineStr">
        <is>
          <t>P</t>
        </is>
      </c>
    </row>
    <row r="450">
      <c r="A450" s="7" t="inlineStr">
        <is>
          <t>P31</t>
        </is>
      </c>
      <c r="B450" s="7" t="inlineStr">
        <is>
          <t>Sebarang pengubahsuaian struktur, pembaikan, renovasi, kerja paip atau saliran yang diperlukan untuk mencegah bahaya keselamatan makanan dilaksanakan tanpa kelewatan yang tidak wajar (rekod permintaan kerja dan tarikh siap menunjukkan tindakan segera).</t>
        </is>
      </c>
      <c r="C450" s="7" t="inlineStr">
        <is>
          <t>MS 1514 kl. 6.2.6</t>
        </is>
      </c>
      <c r="D450" s="7" t="inlineStr"/>
      <c r="E450" s="7" t="inlineStr"/>
      <c r="F450" t="inlineStr">
        <is>
          <t>P</t>
        </is>
      </c>
    </row>
    <row r="451">
      <c r="A451" s="7" t="inlineStr">
        <is>
          <t>P32</t>
        </is>
      </c>
      <c r="B451" s="7" t="inlineStr">
        <is>
          <t>Program penyelenggaraan, pembersihan dan sanitasi (a) dipantau keberkesanannya dan (b) disahkan secara berkala melalui kaedah seperti audit, pemeriksaan pra-operasi atau, jika sesuai, persampelan mikrobiologi persekitaran dan permukaan sentuhan makanan.</t>
        </is>
      </c>
      <c r="C451" s="7" t="inlineStr">
        <is>
          <t>MS 1514 kl. 6.2.7 (saranan)</t>
        </is>
      </c>
      <c r="D451" s="7" t="inlineStr"/>
      <c r="E451" s="7" t="inlineStr"/>
      <c r="F451" t="inlineStr">
        <is>
          <t>P</t>
        </is>
      </c>
    </row>
    <row r="452">
      <c r="A452" s="7" t="inlineStr">
        <is>
          <t>P33</t>
        </is>
      </c>
      <c r="B452" s="7" t="inlineStr">
        <is>
          <t>Program penyelenggaraan, pembersihan dan sanitasi dikaji semula dan dikemas kini secara berkala apabila keadaan berubah (rekod kajian semula dan versi dokumen terkini).</t>
        </is>
      </c>
      <c r="C452" s="7" t="inlineStr">
        <is>
          <t>MS 1514 kl. 6.2.7(c) (saranan)</t>
        </is>
      </c>
      <c r="D452" s="7" t="inlineStr"/>
      <c r="E452" s="7" t="inlineStr"/>
      <c r="F452" t="inlineStr">
        <is>
          <t>P</t>
        </is>
      </c>
    </row>
    <row r="453">
      <c r="A453" s="7" t="inlineStr">
        <is>
          <t>P34</t>
        </is>
      </c>
      <c r="B453" s="7" t="inlineStr">
        <is>
          <t>Terdapat program kawalan perosak yang berkesan bagi premis dan peralatan (tiada tanda aktiviti perosak semasa pemeriksaan tapak dan rekod menunjukkan program dilaksanakan).</t>
        </is>
      </c>
      <c r="C453" s="7" t="inlineStr">
        <is>
          <t>MS 1514 kl. 6.3.1.1</t>
        </is>
      </c>
      <c r="D453" s="7" t="inlineStr"/>
      <c r="E453" s="7" t="inlineStr"/>
      <c r="F453" t="inlineStr">
        <is>
          <t>P</t>
        </is>
      </c>
    </row>
    <row r="454">
      <c r="A454" s="7" t="inlineStr">
        <is>
          <t>P35</t>
        </is>
      </c>
      <c r="B454" s="7" t="inlineStr">
        <is>
          <t>Program kawalan perosak menyatakan: (a) nama orang yang bertanggungjawab atau syarikat kawalan perosak; (b) bahan kimia yang digunakan dan kepekatannya; (c) lokasi penggunaan; (d) kaedah dan kekerapan penggunaan; dan (f) kekerapan pemeriksaan untuk memantau keberkesanan program.</t>
        </is>
      </c>
      <c r="C454" s="7" t="inlineStr">
        <is>
          <t>MS 1514 kl. 6.3.1.1</t>
        </is>
      </c>
      <c r="D454" s="7" t="inlineStr"/>
      <c r="E454" s="7" t="inlineStr"/>
      <c r="F454" t="inlineStr">
        <is>
          <t>P</t>
        </is>
      </c>
    </row>
    <row r="455">
      <c r="A455" s="7" t="inlineStr">
        <is>
          <t>P36</t>
        </is>
      </c>
      <c r="B455" s="7" t="inlineStr">
        <is>
          <t>Peta lokasi perangkap, stesen umpan, kawasan semburan, perangkap serangga elektrik dan peranti kawalan perosak lain disediakan, terkini, dan sepadan dengan kedudukan sebenar peranti di tapak.</t>
        </is>
      </c>
      <c r="C455" s="7" t="inlineStr">
        <is>
          <t>MS 1514 kl. 6.3.1.1(e)</t>
        </is>
      </c>
      <c r="D455" s="7" t="inlineStr"/>
      <c r="E455" s="7" t="inlineStr"/>
      <c r="F455" t="inlineStr">
        <is>
          <t>P</t>
        </is>
      </c>
    </row>
    <row r="456">
      <c r="A456" s="7" t="inlineStr">
        <is>
          <t>P37</t>
        </is>
      </c>
      <c r="B456" s="7" t="inlineStr">
        <is>
          <t>Jika program kawalan perosak dikontrakkan, syarikat kawalan perosak tersebut berlesen dan salinan lesen yang sah disimpan.</t>
        </is>
      </c>
      <c r="C456" s="7" t="inlineStr">
        <is>
          <t>MS 1514 kl. 6.3.1.2 (saranan)</t>
        </is>
      </c>
      <c r="D456" s="7" t="inlineStr"/>
      <c r="E456" s="7" t="inlineStr"/>
      <c r="F456" t="inlineStr">
        <is>
          <t>P</t>
        </is>
      </c>
    </row>
    <row r="457">
      <c r="A457" s="7" t="inlineStr">
        <is>
          <t>P38</t>
        </is>
      </c>
      <c r="B457" s="7" t="inlineStr">
        <is>
          <t>Bangunan dijaga dalam keadaan baik untuk mencegah kemasukan perosak dan menghapuskan tempat pembiakan; lubang, longkang dan tempat lain yang boleh menjadi laluan masuk perosak ditutup atau dimeterai.</t>
        </is>
      </c>
      <c r="C457" s="7" t="inlineStr">
        <is>
          <t>MS 1514 kl. 6.3.2.1.1 (saranan)</t>
        </is>
      </c>
      <c r="D457" s="7" t="inlineStr"/>
      <c r="E457" s="7" t="inlineStr"/>
      <c r="F457" t="inlineStr">
        <is>
          <t>P</t>
        </is>
      </c>
    </row>
    <row r="458">
      <c r="A458" s="7" t="inlineStr">
        <is>
          <t>P39</t>
        </is>
      </c>
      <c r="B458" s="7" t="inlineStr">
        <is>
          <t>Pintu gulung (roll-up) tertutup rapat dengan lantai tanpa sebarang celah.</t>
        </is>
      </c>
      <c r="C458" s="7" t="inlineStr">
        <is>
          <t>MS 1514 kl. 6.3.2.1.2 (saranan)</t>
        </is>
      </c>
      <c r="D458" s="7" t="inlineStr"/>
      <c r="E458" s="7" t="inlineStr"/>
      <c r="F458" t="inlineStr">
        <is>
          <t>P</t>
        </is>
      </c>
    </row>
    <row r="459">
      <c r="A459" s="7" t="inlineStr">
        <is>
          <t>P40</t>
        </is>
      </c>
      <c r="B459" s="7" t="inlineStr">
        <is>
          <t>Haiwan atau binatang peliharaan tidak dibenarkan berada di kawasan kilang dan premis pemprosesan makanan.</t>
        </is>
      </c>
      <c r="C459" s="7" t="inlineStr">
        <is>
          <t>MS 1514 kl. 6.3.2.1.2 (saranan)</t>
        </is>
      </c>
      <c r="D459" s="7" t="inlineStr"/>
      <c r="E459" s="7" t="inlineStr"/>
      <c r="F459" t="inlineStr">
        <is>
          <t>P</t>
        </is>
      </c>
    </row>
    <row r="460">
      <c r="A460" s="7" t="inlineStr">
        <is>
          <t>P41</t>
        </is>
      </c>
      <c r="B460" s="7" t="inlineStr">
        <is>
          <t>Bahan yang berpotensi menjadi sumber makanan perosak disimpan dalam bekas kalis perosak dan/atau disusun tidak bersentuhan dengan lantai (dinaikkan, cth. di atas palet atau rak) serta dijarakkan dari dinding.</t>
        </is>
      </c>
      <c r="C460" s="7" t="inlineStr">
        <is>
          <t>MS 1514 kl. 6.3.2.2.1 (saranan)</t>
        </is>
      </c>
      <c r="D460" s="7" t="inlineStr"/>
      <c r="E460" s="7" t="inlineStr"/>
      <c r="F460" t="inlineStr">
        <is>
          <t>P</t>
        </is>
      </c>
    </row>
    <row r="461">
      <c r="A461" s="7" t="inlineStr">
        <is>
          <t>P42</t>
        </is>
      </c>
      <c r="B461" s="7" t="inlineStr">
        <is>
          <t>Kawasan di dalam dan di luar premis makanan dijaga bersih untuk mengelakkan perosak bersarang.</t>
        </is>
      </c>
      <c r="C461" s="7" t="inlineStr">
        <is>
          <t>MS 1514 kl. 6.3.2.2.1 (saranan)</t>
        </is>
      </c>
      <c r="D461" s="7" t="inlineStr"/>
      <c r="E461" s="7" t="inlineStr"/>
      <c r="F461" t="inlineStr">
        <is>
          <t>P</t>
        </is>
      </c>
    </row>
    <row r="462">
      <c r="A462" s="7" t="inlineStr">
        <is>
          <t>P43</t>
        </is>
      </c>
      <c r="B462" s="7" t="inlineStr">
        <is>
          <t>Sisa disimpan dalam bekas yang bertutup dan kalis perosak.</t>
        </is>
      </c>
      <c r="C462" s="7" t="inlineStr">
        <is>
          <t>MS 1514 kl. 6.3.2.2.1</t>
        </is>
      </c>
      <c r="D462" s="7" t="inlineStr"/>
      <c r="E462" s="7" t="inlineStr"/>
      <c r="F462" t="inlineStr">
        <is>
          <t>P</t>
        </is>
      </c>
    </row>
    <row r="463">
      <c r="A463" s="7" t="inlineStr">
        <is>
          <t>P44</t>
        </is>
      </c>
      <c r="B463" s="7" t="inlineStr">
        <is>
          <t>Premis dan kawasan sekitarnya diperiksa secara berkala untuk mengesan tanda serangan perosak (cth. najis, kesan gigitan) dan rekod pemeriksaan disimpan.</t>
        </is>
      </c>
      <c r="C463" s="7" t="inlineStr">
        <is>
          <t>MS 1514 kl. 6.3.2.3.1 (saranan)</t>
        </is>
      </c>
      <c r="D463" s="7" t="inlineStr"/>
      <c r="E463" s="7" t="inlineStr"/>
      <c r="F463" t="inlineStr">
        <is>
          <t>P</t>
        </is>
      </c>
    </row>
    <row r="464">
      <c r="A464" s="7" t="inlineStr">
        <is>
          <t>P45</t>
        </is>
      </c>
      <c r="B464" s="7" t="inlineStr">
        <is>
          <t>Analisis bertulis (cth. laporan trend kawalan perosak) disediakan yang mengenal pasti kawasan bermasalah, tempat persembunyian dan laluan masuk perosak, serta penilaian keadaan persekitaran dan tahap populasi perosak.</t>
        </is>
      </c>
      <c r="C464" s="7" t="inlineStr">
        <is>
          <t>MS 1514 kl. 6.3.2.3.1 (saranan)</t>
        </is>
      </c>
      <c r="D464" s="7" t="inlineStr"/>
      <c r="E464" s="7" t="inlineStr"/>
      <c r="F464" t="inlineStr">
        <is>
          <t>P</t>
        </is>
      </c>
    </row>
    <row r="465">
      <c r="A465" s="7" t="inlineStr">
        <is>
          <t>P46</t>
        </is>
      </c>
      <c r="B465" s="7" t="inlineStr">
        <is>
          <t>Jika kawalan perosak dijalankan oleh syarikat luar, orang yang bertanggungjawab di premis menjalankan pemantauan berkala di antara lawatan syarikat tersebut dan merekodkannya.</t>
        </is>
      </c>
      <c r="C465" s="7" t="inlineStr">
        <is>
          <t>MS 1514 kl. 6.3.2.3.2 (saranan)</t>
        </is>
      </c>
      <c r="D465" s="7" t="inlineStr"/>
      <c r="E465" s="7" t="inlineStr"/>
      <c r="F465" t="inlineStr">
        <is>
          <t>P</t>
        </is>
      </c>
    </row>
    <row r="466">
      <c r="A466" s="7" t="inlineStr">
        <is>
          <t>P47</t>
        </is>
      </c>
      <c r="B466" s="7" t="inlineStr">
        <is>
          <t>Serangan perosak ditangani dengan segera, dan rawatan menggunakan agen kimia, fizikal atau biologi dijalankan tanpa menjejaskan keselamatan atau kesesuaian makanan.</t>
        </is>
      </c>
      <c r="C466" s="7" t="inlineStr">
        <is>
          <t>MS 1514 kl. 6.3.2.4.1 (saranan)</t>
        </is>
      </c>
      <c r="D466" s="7" t="inlineStr"/>
      <c r="E466" s="7" t="inlineStr"/>
      <c r="F466" t="inlineStr">
        <is>
          <t>P</t>
        </is>
      </c>
    </row>
    <row r="467">
      <c r="A467" s="7" t="inlineStr">
        <is>
          <t>P48</t>
        </is>
      </c>
      <c r="B467" s="7" t="inlineStr">
        <is>
          <t>Punca serangan perosak dikenal pasti dan tindakan pembetulan diambil untuk mengelakkan masalah berulang (rekod tindakan pembetulan tersedia).</t>
        </is>
      </c>
      <c r="C467" s="7" t="inlineStr">
        <is>
          <t>MS 1514 kl. 6.3.2.4.2 (saranan)</t>
        </is>
      </c>
      <c r="D467" s="7" t="inlineStr"/>
      <c r="E467" s="7" t="inlineStr"/>
      <c r="F467" t="inlineStr">
        <is>
          <t>P</t>
        </is>
      </c>
    </row>
    <row r="468">
      <c r="A468" s="7" t="inlineStr">
        <is>
          <t>P49</t>
        </is>
      </c>
      <c r="B468" s="7" t="inlineStr">
        <is>
          <t>Penggunaan dan aplikasi racun perosak terhad kepada operatif yang terlatih (rekod latihan atau sijil kelayakan tersedia).</t>
        </is>
      </c>
      <c r="C468" s="7" t="inlineStr">
        <is>
          <t>MS 1514 kl. 6.3.2.4.3</t>
        </is>
      </c>
      <c r="D468" s="7" t="inlineStr"/>
      <c r="E468" s="7" t="inlineStr"/>
      <c r="F468" t="inlineStr">
        <is>
          <t>P</t>
        </is>
      </c>
    </row>
    <row r="469">
      <c r="A469" s="7" t="inlineStr">
        <is>
          <t>P50</t>
        </is>
      </c>
      <c r="B469" s="7" t="inlineStr">
        <is>
          <t>Penggunaan racun perosak dikawal untuk mengelakkan bahaya keselamatan produk (cth. tidak digunakan berhampiran produk atau permukaan sentuhan makanan yang terdedah, rekod penggunaan disimpan).</t>
        </is>
      </c>
      <c r="C469" s="7" t="inlineStr">
        <is>
          <t>MS 1514 kl. 6.3.2.4.3</t>
        </is>
      </c>
      <c r="D469" s="7" t="inlineStr"/>
      <c r="E469" s="7" t="inlineStr"/>
      <c r="F469" t="inlineStr">
        <is>
          <t>P</t>
        </is>
      </c>
    </row>
    <row r="470">
      <c r="A470" s="7" t="inlineStr">
        <is>
          <t>P51</t>
        </is>
      </c>
      <c r="B470" s="7" t="inlineStr">
        <is>
          <t>Program pengurusan sisa menyatakan: (a) tanggungjawab orang yang ditugaskan; (b) lokasi dan keadaan tong sisa; (c) kaedah dan kekerapan pelupusan sisa; (d) kaedah dan kekerapan pembersihan kawasan dan tong sisa; dan (e) pengaturan pemantauan dan pengesahan.</t>
        </is>
      </c>
      <c r="C470" s="7" t="inlineStr">
        <is>
          <t>MS 1514 kl. 6.4.1 (saranan)</t>
        </is>
      </c>
      <c r="D470" s="7" t="inlineStr"/>
      <c r="E470" s="7" t="inlineStr"/>
      <c r="F470" t="inlineStr">
        <is>
          <t>P</t>
        </is>
      </c>
    </row>
    <row r="471">
      <c r="A471" s="7" t="inlineStr">
        <is>
          <t>P52</t>
        </is>
      </c>
      <c r="B471" s="7" t="inlineStr">
        <is>
          <t>Sisa pepejal dilupuskan dengan cara yang mencegah pencemaran sepanjang proses, daripada bahan masuk hingga produk siap, serta bekalan air boleh minum.</t>
        </is>
      </c>
      <c r="C471" s="7" t="inlineStr">
        <is>
          <t>MS 1514 kl. 6.4.2.1</t>
        </is>
      </c>
      <c r="D471" s="7" t="inlineStr"/>
      <c r="E471" s="7" t="inlineStr"/>
      <c r="F471" t="inlineStr">
        <is>
          <t>P</t>
        </is>
      </c>
    </row>
    <row r="472">
      <c r="A472" s="7" t="inlineStr">
        <is>
          <t>P53</t>
        </is>
      </c>
      <c r="B472" s="7" t="inlineStr">
        <is>
          <t>Pelupusan sisa tidak menimbulkan kacau ganggu kepada alam sekitar (cth. bau, lalat, tumpahan di kawasan sekeliling).</t>
        </is>
      </c>
      <c r="C472" s="7" t="inlineStr">
        <is>
          <t>MS 1514 kl. 6.4.2.1 (saranan)</t>
        </is>
      </c>
      <c r="D472" s="7" t="inlineStr"/>
      <c r="E472" s="7" t="inlineStr"/>
      <c r="F472" t="inlineStr">
        <is>
          <t>P</t>
        </is>
      </c>
    </row>
    <row r="473">
      <c r="A473" s="7" t="inlineStr">
        <is>
          <t>P54</t>
        </is>
      </c>
      <c r="B473" s="7" t="inlineStr">
        <is>
          <t>Lokasi dan kemudahan yang sesuai disediakan untuk penyimpanan dan pemindahan keluar sisa.</t>
        </is>
      </c>
      <c r="C473" s="7" t="inlineStr">
        <is>
          <t>MS 1514 kl. 6.4.2.2</t>
        </is>
      </c>
      <c r="D473" s="7" t="inlineStr"/>
      <c r="E473" s="7" t="inlineStr"/>
      <c r="F473" t="inlineStr">
        <is>
          <t>P</t>
        </is>
      </c>
    </row>
    <row r="474">
      <c r="A474" s="7" t="inlineStr">
        <is>
          <t>P55</t>
        </is>
      </c>
      <c r="B474" s="7" t="inlineStr">
        <is>
          <t>Sisa tidak dibiarkan terkumpul di kawasan pengendalian makanan, penyimpanan makanan, kawasan kerja lain dan persekitaran bersebelahan (cth. kantin kakitangan).</t>
        </is>
      </c>
      <c r="C474" s="7" t="inlineStr">
        <is>
          <t>MS 1514 kl. 6.4.2.2</t>
        </is>
      </c>
      <c r="D474" s="7" t="inlineStr"/>
      <c r="E474" s="7" t="inlineStr"/>
      <c r="F474" t="inlineStr">
        <is>
          <t>P</t>
        </is>
      </c>
    </row>
    <row r="475">
      <c r="A475" s="7" t="inlineStr">
        <is>
          <t>P56</t>
        </is>
      </c>
      <c r="B475" s="7" t="inlineStr">
        <is>
          <t>Tong sisa dan kawasan pengumpulan sisa dijaga bersih pada tahap yang sesuai.</t>
        </is>
      </c>
      <c r="C475" s="7" t="inlineStr">
        <is>
          <t>MS 1514 kl. 6.4.2.3</t>
        </is>
      </c>
      <c r="D475" s="7" t="inlineStr"/>
      <c r="E475" s="7" t="inlineStr"/>
      <c r="F475" t="inlineStr">
        <is>
          <t>P</t>
        </is>
      </c>
    </row>
    <row r="476">
      <c r="A476" s="7" t="inlineStr">
        <is>
          <t>P57</t>
        </is>
      </c>
      <c r="B476" s="7" t="inlineStr">
        <is>
          <t>Tong sisa dan kawasan pengumpulan sisa dinyahjangkit secara berkala dan rekod penyahjangkitan disimpan.</t>
        </is>
      </c>
      <c r="C476" s="7" t="inlineStr">
        <is>
          <t>MS 1514 kl. 6.4.2.3</t>
        </is>
      </c>
      <c r="D476" s="7" t="inlineStr"/>
      <c r="E476" s="7" t="inlineStr"/>
      <c r="F476" t="inlineStr">
        <is>
          <t>P</t>
        </is>
      </c>
    </row>
    <row r="477">
      <c r="A477" s="7" t="inlineStr">
        <is>
          <t>P58</t>
        </is>
      </c>
      <c r="B477" s="7" t="inlineStr">
        <is>
          <t>Sisa cecair dilepaskan dengan cara yang mengelakkan pencemaran sepanjang proses, daripada bahan masuk hingga produk siap, serta bekalan air boleh minum (cth. tiada aliran balik atau limpahan ke kawasan pengeluaran).</t>
        </is>
      </c>
      <c r="C477" s="7" t="inlineStr">
        <is>
          <t>MS 1514 kl. 6.4.3.1</t>
        </is>
      </c>
      <c r="D477" s="7" t="inlineStr"/>
      <c r="E477" s="7" t="inlineStr"/>
      <c r="F477" t="inlineStr">
        <is>
          <t>P</t>
        </is>
      </c>
    </row>
    <row r="478">
      <c r="A478" s="7" t="inlineStr">
        <is>
          <t>P59</t>
        </is>
      </c>
      <c r="B478" s="7" t="inlineStr">
        <is>
          <t>Semua paip, saluran pelupusan efluen dan sistem pembetungan mempunyai kapasiti yang mencukupi untuk menampung beban puncak (tiada limpahan atau air bertakung semasa operasi).</t>
        </is>
      </c>
      <c r="C478" s="7" t="inlineStr">
        <is>
          <t>MS 1514 kl. 6.4.3.2</t>
        </is>
      </c>
      <c r="D478" s="7" t="inlineStr"/>
      <c r="E478" s="7" t="inlineStr"/>
      <c r="F478" t="inlineStr">
        <is>
          <t>P</t>
        </is>
      </c>
    </row>
    <row r="479">
      <c r="A479" s="7" t="inlineStr">
        <is>
          <t>P60</t>
        </is>
      </c>
      <c r="B479" s="7" t="inlineStr">
        <is>
          <t>Semua saluran kalis air (tidak bocor) dan dilengkapi perangkap (trap) serta bolong udara (vent) yang mencukupi.</t>
        </is>
      </c>
      <c r="C479" s="7" t="inlineStr">
        <is>
          <t>MS 1514 kl. 6.4.3.2</t>
        </is>
      </c>
      <c r="D479" s="7" t="inlineStr"/>
      <c r="E479" s="7" t="inlineStr"/>
      <c r="F479" t="inlineStr">
        <is>
          <t>P</t>
        </is>
      </c>
    </row>
    <row r="480">
      <c r="A480" s="7" t="inlineStr">
        <is>
          <t>P61</t>
        </is>
      </c>
      <c r="B480" s="7" t="inlineStr">
        <is>
          <t>Takungan (sump) atau perangkap bahan pepejal dalam sistem saliran dikosongkan dengan kerap dan, jika perlu, pada akhir setiap hari bekerja; rekod pengosongan disimpan.</t>
        </is>
      </c>
      <c r="C480" s="7" t="inlineStr">
        <is>
          <t>MS 1514 kl. 6.4.3.3</t>
        </is>
      </c>
      <c r="D480" s="7" t="inlineStr"/>
      <c r="E480" s="7" t="inlineStr"/>
      <c r="F480" t="inlineStr">
        <is>
          <t>P</t>
        </is>
      </c>
    </row>
    <row r="481">
      <c r="A481" s="7" t="inlineStr">
        <is>
          <t>P62</t>
        </is>
      </c>
      <c r="B481" s="7" t="inlineStr">
        <is>
          <t>Sisa cecair dirawat dan dilupuskan mengikut peraturan semasa yang berkuat kuasa (cth. rekod pemantauan efluen, kelulusan atau permit pihak berkuasa berkaitan).</t>
        </is>
      </c>
      <c r="C481" s="7" t="inlineStr">
        <is>
          <t>MS 1514 kl. 6.4.3.4</t>
        </is>
      </c>
      <c r="D481" s="7" t="inlineStr"/>
      <c r="E481" s="7" t="inlineStr"/>
      <c r="F481" t="inlineStr">
        <is>
          <t>P</t>
        </is>
      </c>
    </row>
    <row r="482">
      <c r="A482" s="4" t="inlineStr">
        <is>
          <t>Bahagian Q: GMP MS 1514: Kebersihan diri dan latihan</t>
        </is>
      </c>
      <c r="B482" s="5" t="n"/>
      <c r="C482" s="5" t="n"/>
      <c r="D482" s="5" t="n"/>
      <c r="E482" s="6" t="n"/>
    </row>
    <row r="483" ht="26" customHeight="1">
      <c r="A483" s="2" t="inlineStr">
        <is>
          <t>Semak status kesihatan, kebersihan dan tingkah laku pekerja, kawalan pelawat serta program latihan mengikut MS 1514:2022 klausa 7 dan 8.</t>
        </is>
      </c>
    </row>
    <row r="484">
      <c r="A484" s="7" t="inlineStr">
        <is>
          <t>Q1</t>
        </is>
      </c>
      <c r="B484" s="7" t="inlineStr">
        <is>
          <t>Orang yang diketahui atau disyaki menghidap, atau menjadi pembawa, penyakit yang boleh berjangkit melalui makanan tidak dibenarkan memasuki mana-mana kawasan pengendalian makanan jika ada kemungkinan mereka mencemarkan makanan.</t>
        </is>
      </c>
      <c r="C484" s="7" t="inlineStr">
        <is>
          <t>MS 1514 kl. 7.1.1</t>
        </is>
      </c>
      <c r="D484" s="7" t="inlineStr"/>
      <c r="E484" s="7" t="inlineStr"/>
      <c r="F484" t="inlineStr">
        <is>
          <t>Q</t>
        </is>
      </c>
    </row>
    <row r="485">
      <c r="A485" s="7" t="inlineStr">
        <is>
          <t>Q2</t>
        </is>
      </c>
      <c r="B485" s="7" t="inlineStr">
        <is>
          <t>Orang yang terjejas melaporkan penyakit atau simptom penyakitnya kepada pihak pengurusan dengan serta-merta. Sahkan melalui temu bual bahawa pekerja tahu tentang kewajipan ini.</t>
        </is>
      </c>
      <c r="C485" s="7" t="inlineStr">
        <is>
          <t>MS 1514 kl. 7.1.1</t>
        </is>
      </c>
      <c r="D485" s="7" t="inlineStr"/>
      <c r="E485" s="7" t="inlineStr"/>
      <c r="F485" t="inlineStr">
        <is>
          <t>Q</t>
        </is>
      </c>
    </row>
    <row r="486">
      <c r="A486" s="7" t="inlineStr">
        <is>
          <t>Q3</t>
        </is>
      </c>
      <c r="B486" s="7" t="inlineStr">
        <is>
          <t>Semua pengendali makanan telah menerima pelalian mengikut keperluan perundangan semasa (cth. suntikan anti-tifoid). Sahkan melalui bukti pelalian bagi setiap pengendali makanan, seperti kad pelalian.</t>
        </is>
      </c>
      <c r="C486" s="7" t="inlineStr">
        <is>
          <t>MS 1514 kl. 7.1.2</t>
        </is>
      </c>
      <c r="D486" s="7" t="inlineStr"/>
      <c r="E486" s="7" t="inlineStr"/>
      <c r="F486" t="inlineStr">
        <is>
          <t>Q</t>
        </is>
      </c>
    </row>
    <row r="487">
      <c r="A487" s="7" t="inlineStr">
        <is>
          <t>Q4</t>
        </is>
      </c>
      <c r="B487" s="7" t="inlineStr">
        <is>
          <t>Semua pengendali makanan telah menjalani pemeriksaan perubatan oleh pengamal perubatan berdaftar. Sahkan melalui bukti pemeriksaan, seperti laporan atau sijil perubatan.</t>
        </is>
      </c>
      <c r="C487" s="7" t="inlineStr">
        <is>
          <t>MS 1514 kl. 7.1.2</t>
        </is>
      </c>
      <c r="D487" s="7" t="inlineStr"/>
      <c r="E487" s="7" t="inlineStr"/>
      <c r="F487" t="inlineStr">
        <is>
          <t>Q</t>
        </is>
      </c>
    </row>
    <row r="488">
      <c r="A488" s="7" t="inlineStr">
        <is>
          <t>Q5</t>
        </is>
      </c>
      <c r="B488" s="7" t="inlineStr">
        <is>
          <t>Pengendali makanan yang bergejala dikecualikan daripada bekerja bagi tempoh tertentu sehingga simptom pulih. Bagi penyakit tertentu, mereka hanya kembali bekerja selepas mendapat pelepasan perubatan.</t>
        </is>
      </c>
      <c r="C488" s="7" t="inlineStr">
        <is>
          <t>MS 1514 kl. 7.1.3 (saranan)</t>
        </is>
      </c>
      <c r="D488" s="7" t="inlineStr"/>
      <c r="E488" s="7" t="inlineStr"/>
      <c r="F488" t="inlineStr">
        <is>
          <t>Q</t>
        </is>
      </c>
    </row>
    <row r="489">
      <c r="A489" s="7" t="inlineStr">
        <is>
          <t>Q6</t>
        </is>
      </c>
      <c r="B489" s="7" t="inlineStr">
        <is>
          <t>Penyakit dan kecederaan dilaporkan kepada pengurusan. Ini termasuk penyakit kuning, cirit-birit, muntah, demam, batuk berpanjangan, sakit tekak dengan demam, lesi kulit yang jelas dijangkiti (bisul, luka dan sebagainya) dan lelehan dari telinga, mata atau hidung. Tujuannya supaya keperluan pemeriksaan perubatan dan/atau pengecualian daripada pengendalian makanan dapat dipertimbangkan.</t>
        </is>
      </c>
      <c r="C489" s="7" t="inlineStr">
        <is>
          <t>MS 1514 kl. 7.2.1</t>
        </is>
      </c>
      <c r="D489" s="7" t="inlineStr"/>
      <c r="E489" s="7" t="inlineStr"/>
      <c r="F489" t="inlineStr">
        <is>
          <t>Q</t>
        </is>
      </c>
    </row>
    <row r="490">
      <c r="A490" s="7" t="inlineStr">
        <is>
          <t>Q7</t>
        </is>
      </c>
      <c r="B490" s="7" t="inlineStr">
        <is>
          <t>Luka pada pekerja yang dibenarkan terus bekerja ditutup dengan plaster kalis air yang sesuai dan sarung tangan.</t>
        </is>
      </c>
      <c r="C490" s="7" t="inlineStr">
        <is>
          <t>MS 1514 kl. 7.2.2 (saranan)</t>
        </is>
      </c>
      <c r="D490" s="7" t="inlineStr"/>
      <c r="E490" s="7" t="inlineStr"/>
      <c r="F490" t="inlineStr">
        <is>
          <t>Q</t>
        </is>
      </c>
    </row>
    <row r="491">
      <c r="A491" s="7" t="inlineStr">
        <is>
          <t>Q8</t>
        </is>
      </c>
      <c r="B491" s="7" t="inlineStr">
        <is>
          <t>Semua orang yang bekerja dalam sentuhan langsung dengan makanan, permukaan sentuhan makanan dan bahan pembungkusan makanan mematuhi amalan kebersihan semasa bertugas, setakat yang perlu untuk melindungi makanan daripada pencemaran.</t>
        </is>
      </c>
      <c r="C491" s="7" t="inlineStr">
        <is>
          <t>MS 1514 kl. 7.3.1</t>
        </is>
      </c>
      <c r="D491" s="7" t="inlineStr"/>
      <c r="E491" s="7" t="inlineStr"/>
      <c r="F491" t="inlineStr">
        <is>
          <t>Q</t>
        </is>
      </c>
    </row>
    <row r="492">
      <c r="A492" s="7" t="inlineStr">
        <is>
          <t>Q9</t>
        </is>
      </c>
      <c r="B492" s="7" t="inlineStr">
        <is>
          <t>Pekerja yang bersentuhan langsung dengan makanan, permukaan sentuhan makanan atau bahan pembungkusan makanan memakai pakaian pelindung berwarna cerah yang sesuai dengan operasi. Pakaian itu dipakai dengan cara yang melindungi daripada pencemaran.</t>
        </is>
      </c>
      <c r="C492" s="7" t="inlineStr">
        <is>
          <t>MS 1514 kl. 7.3.1(a)</t>
        </is>
      </c>
      <c r="D492" s="7" t="inlineStr"/>
      <c r="E492" s="7" t="inlineStr"/>
      <c r="F492" t="inlineStr">
        <is>
          <t>Q</t>
        </is>
      </c>
    </row>
    <row r="493">
      <c r="A493" s="7" t="inlineStr">
        <is>
          <t>Q10</t>
        </is>
      </c>
      <c r="B493" s="7" t="inlineStr">
        <is>
          <t>Pekerja menjaga kebersihan diri yang mencukupi, termasuk kuku yang pendek dan bersih.</t>
        </is>
      </c>
      <c r="C493" s="7" t="inlineStr">
        <is>
          <t>MS 1514 kl. 7.3.1(b)</t>
        </is>
      </c>
      <c r="D493" s="7" t="inlineStr"/>
      <c r="E493" s="7" t="inlineStr"/>
      <c r="F493" t="inlineStr">
        <is>
          <t>Q</t>
        </is>
      </c>
    </row>
    <row r="494">
      <c r="A494" s="7" t="inlineStr">
        <is>
          <t>Q11</t>
        </is>
      </c>
      <c r="B494" s="7" t="inlineStr">
        <is>
          <t>Papan tanda yang mudah difahami dipamerkan untuk mengarahkan pekerja mencuci tangan apabila mengendalikan makanan yang tidak terlindung, bahan pembungkusan yang tidak terlindung dan permukaan sentuhan makanan.</t>
        </is>
      </c>
      <c r="C494" s="7" t="inlineStr">
        <is>
          <t>MS 1514 kl. 7.3.1(c)</t>
        </is>
      </c>
      <c r="D494" s="7" t="inlineStr"/>
      <c r="E494" s="7" t="inlineStr"/>
      <c r="F494" t="inlineStr">
        <is>
          <t>Q</t>
        </is>
      </c>
    </row>
    <row r="495">
      <c r="A495" s="7" t="inlineStr">
        <is>
          <t>Q12</t>
        </is>
      </c>
      <c r="B495" s="7" t="inlineStr">
        <is>
          <t>Pekerja mencuci tangan dengan teliti dan menyanitasinya untuk melindungi daripada pencemaran mikroorganisma yang tidak diingini. Ini dibuat di kemudahan basuh tangan yang mencukupi pada waktu berikut: sebelum mula bekerja, selepas setiap kali meninggalkan stesen kerja, dan bila-bila masa tangan mungkin telah kotor atau tercemar.</t>
        </is>
      </c>
      <c r="C495" s="7" t="inlineStr">
        <is>
          <t>MS 1514 kl. 7.3.1(d)</t>
        </is>
      </c>
      <c r="D495" s="7" t="inlineStr"/>
      <c r="E495" s="7" t="inlineStr"/>
      <c r="F495" t="inlineStr">
        <is>
          <t>Q</t>
        </is>
      </c>
    </row>
    <row r="496">
      <c r="A496" s="7" t="inlineStr">
        <is>
          <t>Q13</t>
        </is>
      </c>
      <c r="B496" s="7" t="inlineStr">
        <is>
          <t>Pakaian pelindung ditanggalkan sebelum ke tandas.</t>
        </is>
      </c>
      <c r="C496" s="7" t="inlineStr">
        <is>
          <t>MS 1514 kl. 7.3.1(e)</t>
        </is>
      </c>
      <c r="D496" s="7" t="inlineStr"/>
      <c r="E496" s="7" t="inlineStr"/>
      <c r="F496" t="inlineStr">
        <is>
          <t>Q</t>
        </is>
      </c>
    </row>
    <row r="497">
      <c r="A497" s="7" t="inlineStr">
        <is>
          <t>Q14</t>
        </is>
      </c>
      <c r="B497" s="7" t="inlineStr">
        <is>
          <t>Barang peribadi dan objek lain yang boleh jatuh ke dalam makanan, peralatan atau bekas (cth. pen di poket atas) dikeluarkan sebelum pekerja mengendalikan makanan.</t>
        </is>
      </c>
      <c r="C497" s="7" t="inlineStr">
        <is>
          <t>MS 1514 kl. 7.3.1(f)</t>
        </is>
      </c>
      <c r="D497" s="7" t="inlineStr"/>
      <c r="E497" s="7" t="inlineStr"/>
      <c r="F497" t="inlineStr">
        <is>
          <t>Q</t>
        </is>
      </c>
    </row>
    <row r="498">
      <c r="A498" s="7" t="inlineStr">
        <is>
          <t>Q15</t>
        </is>
      </c>
      <c r="B498" s="7" t="inlineStr">
        <is>
          <t>Barang kemas tangan yang tidak dapat disanitasi dengan sempurna ditanggalkan semasa makanan dikendalikan dengan tangan. Jika tidak dapat ditanggalkan, ia ditutup dengan bahan yang utuh, bersih, sanitari dan berkesan menghalang pencemaran.</t>
        </is>
      </c>
      <c r="C498" s="7" t="inlineStr">
        <is>
          <t>MS 1514 kl. 7.3.1(f)</t>
        </is>
      </c>
      <c r="D498" s="7" t="inlineStr"/>
      <c r="E498" s="7" t="inlineStr"/>
      <c r="F498" t="inlineStr">
        <is>
          <t>Q</t>
        </is>
      </c>
    </row>
    <row r="499">
      <c r="A499" s="7" t="inlineStr">
        <is>
          <t>Q16</t>
        </is>
      </c>
      <c r="B499" s="7" t="inlineStr">
        <is>
          <t>Sarung tangan yang digunakan untuk mengendalikan makanan berada dalam keadaan utuh, bersih dan sanitari.</t>
        </is>
      </c>
      <c r="C499" s="7" t="inlineStr">
        <is>
          <t>MS 1514 kl. 7.3.1(g)</t>
        </is>
      </c>
      <c r="D499" s="7" t="inlineStr"/>
      <c r="E499" s="7" t="inlineStr"/>
      <c r="F499" t="inlineStr">
        <is>
          <t>Q</t>
        </is>
      </c>
    </row>
    <row r="500">
      <c r="A500" s="7" t="inlineStr">
        <is>
          <t>Q17</t>
        </is>
      </c>
      <c r="B500" s="7" t="inlineStr">
        <is>
          <t>Sarung tangan untuk pengendalian makanan diperbuat daripada bahan yang tidak telap.</t>
        </is>
      </c>
      <c r="C500" s="7" t="inlineStr">
        <is>
          <t>MS 1514 kl. 7.3.1(g) (saranan)</t>
        </is>
      </c>
      <c r="D500" s="7" t="inlineStr"/>
      <c r="E500" s="7" t="inlineStr"/>
      <c r="F500" t="inlineStr">
        <is>
          <t>Q</t>
        </is>
      </c>
    </row>
    <row r="501">
      <c r="A501" s="7" t="inlineStr">
        <is>
          <t>Q18</t>
        </is>
      </c>
      <c r="B501" s="7" t="inlineStr">
        <is>
          <t>Di tempat yang sesuai, penutup kepala, ikat kepala, topi, penutup janggut, pelitup muka (termasuk penyambungnya) atau penahan rambut lain dipakai dengan berkesan.</t>
        </is>
      </c>
      <c r="C501" s="7" t="inlineStr">
        <is>
          <t>MS 1514 kl. 7.3.1(h)</t>
        </is>
      </c>
      <c r="D501" s="7" t="inlineStr"/>
      <c r="E501" s="7" t="inlineStr"/>
      <c r="F501" t="inlineStr">
        <is>
          <t>Q</t>
        </is>
      </c>
    </row>
    <row r="502">
      <c r="A502" s="7" t="inlineStr">
        <is>
          <t>Q19</t>
        </is>
      </c>
      <c r="B502" s="7" t="inlineStr">
        <is>
          <t>Pakaian dan barang peribadi disimpan di kawasan berasingan (cth. loker atau bilik persalinan), bukan di kawasan makanan terdedah atau tempat peralatan dan perkakas dicuci.</t>
        </is>
      </c>
      <c r="C502" s="7" t="inlineStr">
        <is>
          <t>MS 1514 kl. 7.3.1(i)</t>
        </is>
      </c>
      <c r="D502" s="7" t="inlineStr"/>
      <c r="E502" s="7" t="inlineStr"/>
      <c r="F502" t="inlineStr">
        <is>
          <t>Q</t>
        </is>
      </c>
    </row>
    <row r="503">
      <c r="A503" s="7" t="inlineStr">
        <is>
          <t>Q20</t>
        </is>
      </c>
      <c r="B503" s="7" t="inlineStr">
        <is>
          <t>Makan, mengunyah gula-gula getah, minum, merokok dan vape hanya dibuat di kawasan selain kawasan makanan mungkin terdedah atau tempat peralatan dan perkakas dicuci.</t>
        </is>
      </c>
      <c r="C503" s="7" t="inlineStr">
        <is>
          <t>MS 1514 kl. 7.3.1(j)</t>
        </is>
      </c>
      <c r="D503" s="7" t="inlineStr"/>
      <c r="E503" s="7" t="inlineStr"/>
      <c r="F503" t="inlineStr">
        <is>
          <t>Q</t>
        </is>
      </c>
    </row>
    <row r="504">
      <c r="A504" s="7" t="inlineStr">
        <is>
          <t>Q21</t>
        </is>
      </c>
      <c r="B504" s="7" t="inlineStr">
        <is>
          <t>Langkah berjaga-jaga lain diambil untuk mengelakkan makanan, permukaan sentuhan makanan dan bahan pembungkusan dicemari mikroorganisma atau bahan asing, seperti peluh, rambut, kosmetik, tembakau, bahan kimia dan ubat yang disapu pada kulit.</t>
        </is>
      </c>
      <c r="C504" s="7" t="inlineStr">
        <is>
          <t>MS 1514 kl. 7.3.1(k)</t>
        </is>
      </c>
      <c r="D504" s="7" t="inlineStr"/>
      <c r="E504" s="7" t="inlineStr"/>
      <c r="F504" t="inlineStr">
        <is>
          <t>Q</t>
        </is>
      </c>
    </row>
    <row r="505">
      <c r="A505" s="7" t="inlineStr">
        <is>
          <t>Q22</t>
        </is>
      </c>
      <c r="B505" s="7" t="inlineStr">
        <is>
          <t>Pengendali makanan tidak melakukan perbuatan yang boleh mencemarkan makanan, seperti merokok atau vape, meludah, mengunyah atau makan, bersin atau batuk di atas makanan tidak terlindung, menjilat jari, menggaru badan dan menghembus hingus. Ini disemak melalui pemerhatian di kawasan operasi.</t>
        </is>
      </c>
      <c r="C505" s="7" t="inlineStr">
        <is>
          <t>MS 1514 kl. 7.4.1 (saranan)</t>
        </is>
      </c>
      <c r="D505" s="7" t="inlineStr"/>
      <c r="E505" s="7" t="inlineStr"/>
      <c r="F505" t="inlineStr">
        <is>
          <t>Q</t>
        </is>
      </c>
    </row>
    <row r="506">
      <c r="A506" s="7" t="inlineStr">
        <is>
          <t>Q23</t>
        </is>
      </c>
      <c r="B506" s="7" t="inlineStr">
        <is>
          <t>Barang peribadi yang boleh menjejaskan keselamatan dan kesesuaian makanan tidak dipakai atau dibawa masuk ke kawasan pengendalian makanan. Ini termasuk barang kemas, jam tangan, pin, kuku palsu dan bulu mata palsu.</t>
        </is>
      </c>
      <c r="C506" s="7" t="inlineStr">
        <is>
          <t>MS 1514 kl. 7.4.2</t>
        </is>
      </c>
      <c r="D506" s="7" t="inlineStr"/>
      <c r="E506" s="7" t="inlineStr"/>
      <c r="F506" t="inlineStr">
        <is>
          <t>Q</t>
        </is>
      </c>
    </row>
    <row r="507">
      <c r="A507" s="7" t="inlineStr">
        <is>
          <t>Q24</t>
        </is>
      </c>
      <c r="B507" s="7" t="inlineStr">
        <is>
          <t>Di tempat yang sesuai, pelawat ke kawasan pengeluaran, pemprosesan atau pengendalian makanan diberi arahan dan diselia. Mereka memakai pakaian pelindung dan mematuhi peraturan kebersihan diri yang sama seperti pekerja.</t>
        </is>
      </c>
      <c r="C507" s="7" t="inlineStr">
        <is>
          <t>MS 1514 kl. 7.5 (saranan)</t>
        </is>
      </c>
      <c r="D507" s="7" t="inlineStr"/>
      <c r="E507" s="7" t="inlineStr"/>
      <c r="F507" t="inlineStr">
        <is>
          <t>Q</t>
        </is>
      </c>
    </row>
    <row r="508">
      <c r="A508" s="7" t="inlineStr">
        <is>
          <t>Q25</t>
        </is>
      </c>
      <c r="B508" s="7" t="inlineStr">
        <is>
          <t>Pelawat diberi taklimat tentang polisi kebersihan premis sebelum lawatan. Mereka digalakkan melaporkan sebarang penyakit atau kecederaan yang boleh menyebabkan pencemaran silang (cth. melalui borang pengisytiharan kesihatan pelawat).</t>
        </is>
      </c>
      <c r="C508" s="7" t="inlineStr">
        <is>
          <t>MS 1514 kl. 7.5 (saranan)</t>
        </is>
      </c>
      <c r="D508" s="7" t="inlineStr"/>
      <c r="E508" s="7" t="inlineStr"/>
      <c r="F508" t="inlineStr">
        <is>
          <t>Q</t>
        </is>
      </c>
    </row>
    <row r="509">
      <c r="A509" s="7" t="inlineStr">
        <is>
          <t>Q26</t>
        </is>
      </c>
      <c r="B509" s="7" t="inlineStr">
        <is>
          <t>Semua kakitangan sedar akan peranan dan tanggungjawab masing-masing dalam melindungi makanan daripada pencemaran atau kemerosotan. Ini disemak melalui temu bual pekerja dan huraian tugas.</t>
        </is>
      </c>
      <c r="C509" s="7" t="inlineStr">
        <is>
          <t>MS 1514 kl. 8.1.1</t>
        </is>
      </c>
      <c r="D509" s="7" t="inlineStr"/>
      <c r="E509" s="7" t="inlineStr"/>
      <c r="F509" t="inlineStr">
        <is>
          <t>Q</t>
        </is>
      </c>
    </row>
    <row r="510">
      <c r="A510" s="7" t="inlineStr">
        <is>
          <t>Q27</t>
        </is>
      </c>
      <c r="B510" s="7" t="inlineStr">
        <is>
          <t>Pengendali makanan mempunyai pengetahuan dan kemahiran yang perlu untuk mengendalikan makanan dengan selamat.</t>
        </is>
      </c>
      <c r="C510" s="7" t="inlineStr">
        <is>
          <t>MS 1514 kl. 8.1.1 (saranan)</t>
        </is>
      </c>
      <c r="D510" s="7" t="inlineStr"/>
      <c r="E510" s="7" t="inlineStr"/>
      <c r="F510" t="inlineStr">
        <is>
          <t>Q</t>
        </is>
      </c>
    </row>
    <row r="511">
      <c r="A511" s="7" t="inlineStr">
        <is>
          <t>Q28</t>
        </is>
      </c>
      <c r="B511" s="7" t="inlineStr">
        <is>
          <t>Pekerja yang mengendalikan bahan kimia pembersihan yang kuat atau bahan kimia lain yang berpotensi berbahaya telah diberi arahan tentang teknik pengendalian yang selamat.</t>
        </is>
      </c>
      <c r="C511" s="7" t="inlineStr">
        <is>
          <t>MS 1514 kl. 8.1.1</t>
        </is>
      </c>
      <c r="D511" s="7" t="inlineStr"/>
      <c r="E511" s="7" t="inlineStr"/>
      <c r="F511" t="inlineStr">
        <is>
          <t>Q</t>
        </is>
      </c>
    </row>
    <row r="512">
      <c r="A512" s="7" t="inlineStr">
        <is>
          <t>Q29</t>
        </is>
      </c>
      <c r="B512" s="7" t="inlineStr">
        <is>
          <t>Pengurus dan penyelia mempunyai pengetahuan yang mencukupi tentang GMP dan alergen. Mereka mampu menilai risiko, mengambil tindakan pembetulan dan pencegahan, serta memastikan pemantauan dan penyeliaan berjalan dengan berkesan.</t>
        </is>
      </c>
      <c r="C512" s="7" t="inlineStr">
        <is>
          <t>MS 1514 kl. 8.2 (saranan)</t>
        </is>
      </c>
      <c r="D512" s="7" t="inlineStr"/>
      <c r="E512" s="7" t="inlineStr"/>
      <c r="F512" t="inlineStr">
        <is>
          <t>Q</t>
        </is>
      </c>
    </row>
    <row r="513">
      <c r="A513" s="7" t="inlineStr">
        <is>
          <t>Q30</t>
        </is>
      </c>
      <c r="B513" s="7" t="inlineStr">
        <is>
          <t>Premis menyediakan pelan latihan yang mengenal pasti jenis latihan yang penting untuk melaksanakan dan mengekalkan GMP.</t>
        </is>
      </c>
      <c r="C513" s="7" t="inlineStr">
        <is>
          <t>MS 1514 kl. 8.3.1</t>
        </is>
      </c>
      <c r="D513" s="7" t="inlineStr"/>
      <c r="E513" s="7" t="inlineStr"/>
      <c r="F513" t="inlineStr">
        <is>
          <t>Q</t>
        </is>
      </c>
    </row>
    <row r="514">
      <c r="A514" s="7" t="inlineStr">
        <is>
          <t>Q31</t>
        </is>
      </c>
      <c r="B514" s="7" t="inlineStr">
        <is>
          <t>Keperluan latihan dikaji semula pada selang masa yang sesuai.</t>
        </is>
      </c>
      <c r="C514" s="7" t="inlineStr">
        <is>
          <t>MS 1514 kl. 8.3.1</t>
        </is>
      </c>
      <c r="D514" s="7" t="inlineStr"/>
      <c r="E514" s="7" t="inlineStr"/>
      <c r="F514" t="inlineStr">
        <is>
          <t>Q</t>
        </is>
      </c>
    </row>
    <row r="515">
      <c r="A515" s="7" t="inlineStr">
        <is>
          <t>Q32</t>
        </is>
      </c>
      <c r="B515" s="7" t="inlineStr">
        <is>
          <t>Latihan dikekalkan pada tahap yang memastikan semua pekerja mengetahui tanggungjawab mereka untuk mengekalkan GMP.</t>
        </is>
      </c>
      <c r="C515" s="7" t="inlineStr">
        <is>
          <t>MS 1514 kl. 8.3.2</t>
        </is>
      </c>
      <c r="D515" s="7" t="inlineStr"/>
      <c r="E515" s="7" t="inlineStr"/>
      <c r="F515" t="inlineStr">
        <is>
          <t>Q</t>
        </is>
      </c>
    </row>
    <row r="516">
      <c r="A516" s="7" t="inlineStr">
        <is>
          <t>Q33</t>
        </is>
      </c>
      <c r="B516" s="7" t="inlineStr">
        <is>
          <t>Rekod setiap sesi latihan mengandungi butiran seperti kandungan program, kecekapan jurulatih, penilaian peserta dan penetapan keperluan latihan semula.</t>
        </is>
      </c>
      <c r="C516" s="7" t="inlineStr">
        <is>
          <t>MS 1514 kl. 8.3.2</t>
        </is>
      </c>
      <c r="D516" s="7" t="inlineStr"/>
      <c r="E516" s="7" t="inlineStr"/>
      <c r="F516" t="inlineStr">
        <is>
          <t>Q</t>
        </is>
      </c>
    </row>
    <row r="517">
      <c r="A517" s="7" t="inlineStr">
        <is>
          <t>Q34</t>
        </is>
      </c>
      <c r="B517" s="7" t="inlineStr">
        <is>
          <t>Keberkesanan program latihan dan arahan dinilai secara berkala. Penyeliaan dan semakan rutin dibuat untuk memastikan latihan dilaksanakan dengan berkesan.</t>
        </is>
      </c>
      <c r="C517" s="7" t="inlineStr">
        <is>
          <t>MS 1514 kl. 8.3.3 (saranan)</t>
        </is>
      </c>
      <c r="D517" s="7" t="inlineStr"/>
      <c r="E517" s="7" t="inlineStr"/>
      <c r="F517" t="inlineStr">
        <is>
          <t>Q</t>
        </is>
      </c>
    </row>
    <row r="518">
      <c r="A518" s="7" t="inlineStr">
        <is>
          <t>Q35</t>
        </is>
      </c>
      <c r="B518" s="7" t="inlineStr">
        <is>
          <t>Ada sistem (cth. latihan ulang kaji atau taklimat berkala) untuk memastikan pengendali makanan sentiasa sedar akan semua prosedur yang perlu bagi mengekalkan keselamatan dan kesesuaian makanan.</t>
        </is>
      </c>
      <c r="C518" s="7" t="inlineStr">
        <is>
          <t>MS 1514 kl. 8.3.4 (saranan)</t>
        </is>
      </c>
      <c r="D518" s="7" t="inlineStr"/>
      <c r="E518" s="7" t="inlineStr"/>
      <c r="F518" t="inlineStr">
        <is>
          <t>Q</t>
        </is>
      </c>
    </row>
    <row r="519">
      <c r="A519" s="7" t="inlineStr">
        <is>
          <t>Q36</t>
        </is>
      </c>
      <c r="B519" s="7" t="inlineStr">
        <is>
          <t>Program latihan dikaji semula secara rutin dan dikemas kini apabila perlu.</t>
        </is>
      </c>
      <c r="C519" s="7" t="inlineStr">
        <is>
          <t>MS 1514 kl. 8.3.5 (saranan)</t>
        </is>
      </c>
      <c r="D519" s="7" t="inlineStr"/>
      <c r="E519" s="7" t="inlineStr"/>
      <c r="F519" t="inlineStr">
        <is>
          <t>Q</t>
        </is>
      </c>
    </row>
    <row r="520">
      <c r="A520" s="4" t="inlineStr">
        <is>
          <t>Bahagian R: GMP MS 1514: Maklumat produk, kebolehkesanan dan pengangkutan</t>
        </is>
      </c>
      <c r="B520" s="5" t="n"/>
      <c r="C520" s="5" t="n"/>
      <c r="D520" s="5" t="n"/>
      <c r="E520" s="6" t="n"/>
    </row>
    <row r="521" ht="26" customHeight="1">
      <c r="A521" s="2" t="inlineStr">
        <is>
          <t>Semak pengenalan lot, pelabelan, kebolehkesanan, prosedur tarik balik dan pengangkutan mengikut MS 1514:2022 klausa 9 dan 10.</t>
        </is>
      </c>
    </row>
    <row r="522">
      <c r="A522" s="7" t="inlineStr">
        <is>
          <t>R1</t>
        </is>
      </c>
      <c r="B522" s="7" t="inlineStr">
        <is>
          <t>Sistem kebolehkesanan makanan disediakan dan digunakan di premis makanan supaya produk boleh ditarik balik apabila perlu (contoh: kod lot atau kelompok pada produk dan rekod yang berkaitan).</t>
        </is>
      </c>
      <c r="C522" s="7" t="inlineStr">
        <is>
          <t>MS 1514 kl. 9.1.2</t>
        </is>
      </c>
      <c r="D522" s="7" t="inlineStr"/>
      <c r="E522" s="7" t="inlineStr"/>
      <c r="F522" t="inlineStr">
        <is>
          <t>R</t>
        </is>
      </c>
    </row>
    <row r="523">
      <c r="A523" s="7" t="inlineStr">
        <is>
          <t>R2</t>
        </is>
      </c>
      <c r="B523" s="7" t="inlineStr">
        <is>
          <t>Setiap produk makanan disertakan atau dilabel dengan maklumat yang mencukupi (contoh: cara penyimpanan, penyediaan dan penggunaan) supaya pengilang seterusnya atau pengguna dapat mengendalikan produk dengan selamat dan betul.</t>
        </is>
      </c>
      <c r="C523" s="7" t="inlineStr">
        <is>
          <t>MS 1514 kl. 9.2.1 (saranan)</t>
        </is>
      </c>
      <c r="D523" s="7" t="inlineStr"/>
      <c r="E523" s="7" t="inlineStr"/>
      <c r="F523" t="inlineStr">
        <is>
          <t>R</t>
        </is>
      </c>
    </row>
    <row r="524">
      <c r="A524" s="7" t="inlineStr">
        <is>
          <t>R3</t>
        </is>
      </c>
      <c r="B524" s="7" t="inlineStr">
        <is>
          <t>Label makanan pra-bungkus memberi arahan yang jelas tentang cara mengendalikan, mempamerkan, menyimpan dan menggunakan produk.</t>
        </is>
      </c>
      <c r="C524" s="7" t="inlineStr">
        <is>
          <t>MS 1514 kl. 9.2.2 (saranan)</t>
        </is>
      </c>
      <c r="D524" s="7" t="inlineStr"/>
      <c r="E524" s="7" t="inlineStr"/>
      <c r="F524" t="inlineStr">
        <is>
          <t>R</t>
        </is>
      </c>
    </row>
    <row r="525">
      <c r="A525" s="7" t="inlineStr">
        <is>
          <t>R4</t>
        </is>
      </c>
      <c r="B525" s="7" t="inlineStr">
        <is>
          <t>Label makanan pra-bungkus mengenal pasti alergen makanan yang terkandung sebagai ramuan, serta alergen yang mungkin hadir apabila kemungkinan sentuhan silang tidak dapat diketepikan (contoh: pernyataan 'mungkin mengandungi ...').</t>
        </is>
      </c>
      <c r="C525" s="7" t="inlineStr">
        <is>
          <t>MS 1514 kl. 9.2.2 (saranan)</t>
        </is>
      </c>
      <c r="D525" s="7" t="inlineStr"/>
      <c r="E525" s="7" t="inlineStr"/>
      <c r="F525" t="inlineStr">
        <is>
          <t>R</t>
        </is>
      </c>
    </row>
    <row r="526">
      <c r="A526" s="7" t="inlineStr">
        <is>
          <t>R5</t>
        </is>
      </c>
      <c r="B526" s="7" t="inlineStr">
        <is>
          <t>Sistem kebolehkesanan diwujudkan dan dilaksanakan, dan dapat mengaitkan setiap lot produk dengan kelompok bahan mentah, rekod pemprosesan dan rekod penghantaran (sahkan dengan ujian surih satu lot produk).</t>
        </is>
      </c>
      <c r="C526" s="7" t="inlineStr">
        <is>
          <t>MS 1514 kl. 9.3.1</t>
        </is>
      </c>
      <c r="D526" s="7" t="inlineStr"/>
      <c r="E526" s="7" t="inlineStr"/>
      <c r="F526" t="inlineStr">
        <is>
          <t>R</t>
        </is>
      </c>
    </row>
    <row r="527">
      <c r="A527" s="7" t="inlineStr">
        <is>
          <t>R6</t>
        </is>
      </c>
      <c r="B527" s="7" t="inlineStr">
        <is>
          <t>Sistem kebolehkesanan dapat mengenal pasti bahan yang diterima daripada pembekal terdekat, iaitu satu langkah ke belakang (contoh: rekod penerimaan dengan nama pembekal, tarikh dan nombor lot bahan).</t>
        </is>
      </c>
      <c r="C527" s="7" t="inlineStr">
        <is>
          <t>MS 1514 kl. 9.3.2</t>
        </is>
      </c>
      <c r="D527" s="7" t="inlineStr"/>
      <c r="E527" s="7" t="inlineStr"/>
      <c r="F527" t="inlineStr">
        <is>
          <t>R</t>
        </is>
      </c>
    </row>
    <row r="528">
      <c r="A528" s="7" t="inlineStr">
        <is>
          <t>R7</t>
        </is>
      </c>
      <c r="B528" s="7" t="inlineStr">
        <is>
          <t>Sistem kebolehkesanan dapat mengenal pasti laluan pengedaran awal produk akhir, iaitu satu langkah ke hadapan (contoh: rekod penghantaran yang mencatat penerima pertama, tarikh dan nombor lot).</t>
        </is>
      </c>
      <c r="C528" s="7" t="inlineStr">
        <is>
          <t>MS 1514 kl. 9.3.2</t>
        </is>
      </c>
      <c r="D528" s="7" t="inlineStr"/>
      <c r="E528" s="7" t="inlineStr"/>
      <c r="F528" t="inlineStr">
        <is>
          <t>R</t>
        </is>
      </c>
    </row>
    <row r="529">
      <c r="A529" s="7" t="inlineStr">
        <is>
          <t>R8</t>
        </is>
      </c>
      <c r="B529" s="7" t="inlineStr">
        <is>
          <t>Pengurus memastikan prosedur yang berkesan tersedia untuk menangani sebarang bahaya keselamatan makanan dan untuk membolehkan mana-mana lot produk akhir yang terlibat ditarik balik dari pasaran dengan berkesan.</t>
        </is>
      </c>
      <c r="C529" s="7" t="inlineStr">
        <is>
          <t>MS 1514 kl. 9.4.1 (saranan)</t>
        </is>
      </c>
      <c r="D529" s="7" t="inlineStr"/>
      <c r="E529" s="7" t="inlineStr"/>
      <c r="F529" t="inlineStr">
        <is>
          <t>R</t>
        </is>
      </c>
    </row>
    <row r="530">
      <c r="A530" s="7" t="inlineStr">
        <is>
          <t>R9</t>
        </is>
      </c>
      <c r="B530" s="7" t="inlineStr">
        <is>
          <t>Sistem penarikan balik merangkumi prosedur bertulis yang memastikan produk yang mungkin membahayakan kesihatan awam dapat dikenal pasti dengan cepat dan dikeluarkan dari pasaran tepat pada masanya.</t>
        </is>
      </c>
      <c r="C530" s="7" t="inlineStr">
        <is>
          <t>MS 1514 kl. 9.4.2</t>
        </is>
      </c>
      <c r="D530" s="7" t="inlineStr"/>
      <c r="E530" s="7" t="inlineStr"/>
      <c r="F530" t="inlineStr">
        <is>
          <t>R</t>
        </is>
      </c>
    </row>
    <row r="531">
      <c r="A531" s="7" t="inlineStr">
        <is>
          <t>R10</t>
        </is>
      </c>
      <c r="B531" s="7" t="inlineStr">
        <is>
          <t>Apabila produk ditarik balik kerana bahaya keselamatan makanan, produk lain yang dihasilkan dalam keadaan serupa dan mungkin membawa bahaya serupa kepada kesihatan awam dinilai keselamatannya dan ditarik balik jika perlu; keperluan untuk mengeluarkan amaran awam turut dipertimbangkan.</t>
        </is>
      </c>
      <c r="C531" s="7" t="inlineStr">
        <is>
          <t>MS 1514 kl. 9.4.3 (saranan)</t>
        </is>
      </c>
      <c r="D531" s="7" t="inlineStr"/>
      <c r="E531" s="7" t="inlineStr"/>
      <c r="F531" t="inlineStr">
        <is>
          <t>R</t>
        </is>
      </c>
    </row>
    <row r="532">
      <c r="A532" s="7" t="inlineStr">
        <is>
          <t>R11</t>
        </is>
      </c>
      <c r="B532" s="7" t="inlineStr">
        <is>
          <t>Produk yang ditarik balik disimpan di bawah pengawasan sehingga dimusnahkan, digunakan untuk tujuan selain makanan manusia, ditentukan selamat untuk dimakan manusia, atau diproses semula dengan cara yang menjamin keselamatannya.</t>
        </is>
      </c>
      <c r="C532" s="7" t="inlineStr">
        <is>
          <t>MS 1514 kl. 9.4.4 (saranan)</t>
        </is>
      </c>
      <c r="D532" s="7" t="inlineStr"/>
      <c r="E532" s="7" t="inlineStr"/>
      <c r="F532" t="inlineStr">
        <is>
          <t>R</t>
        </is>
      </c>
    </row>
    <row r="533">
      <c r="A533" s="7" t="inlineStr">
        <is>
          <t>R12</t>
        </is>
      </c>
      <c r="B533" s="7" t="inlineStr">
        <is>
          <t>Prosedur penarikan balik didokumenkan dan diselenggara, dan diubah suai apabila perlu berdasarkan penemuan latihan penarikan balik olok-olok (mock recall) berkala dan seumpamanya.</t>
        </is>
      </c>
      <c r="C533" s="7" t="inlineStr">
        <is>
          <t>MS 1514 kl. 9.4.5 (saranan)</t>
        </is>
      </c>
      <c r="D533" s="7" t="inlineStr"/>
      <c r="E533" s="7" t="inlineStr"/>
      <c r="F533" t="inlineStr">
        <is>
          <t>R</t>
        </is>
      </c>
    </row>
    <row r="534">
      <c r="A534" s="7" t="inlineStr">
        <is>
          <t>R13</t>
        </is>
      </c>
      <c r="B534" s="7" t="inlineStr">
        <is>
          <t>Makanan dilindungi dengan sewajarnya semasa pengangkutan, dan jenis kenderaan atau bekas yang digunakan sesuai dengan sifat makanan dan keadaan pengangkutan (contoh: kenderaan berpenyejuk untuk makanan sejuk atau beku, muatan bertutup).</t>
        </is>
      </c>
      <c r="C534" s="7" t="inlineStr">
        <is>
          <t>MS 1514 kl. 10.1.1</t>
        </is>
      </c>
      <c r="D534" s="7" t="inlineStr"/>
      <c r="E534" s="7" t="inlineStr"/>
      <c r="F534" t="inlineStr">
        <is>
          <t>R</t>
        </is>
      </c>
    </row>
    <row r="535">
      <c r="A535" s="7" t="inlineStr">
        <is>
          <t>R14</t>
        </is>
      </c>
      <c r="B535" s="7" t="inlineStr">
        <is>
          <t>Kenderaan dan bekas pukal diperbuat daripada bahan yang tidak mencemarkan makanan atau pembungkusan, dan boleh dibersihkan dengan berkesan serta dinyahjangkit jika perlu.</t>
        </is>
      </c>
      <c r="C535" s="7" t="inlineStr">
        <is>
          <t>MS 1514 kl. 10.1.2 a), b) (saranan)</t>
        </is>
      </c>
      <c r="D535" s="7" t="inlineStr"/>
      <c r="E535" s="7" t="inlineStr"/>
      <c r="F535" t="inlineStr">
        <is>
          <t>R</t>
        </is>
      </c>
    </row>
    <row r="536">
      <c r="A536" s="7" t="inlineStr">
        <is>
          <t>R15</t>
        </is>
      </c>
      <c r="B536" s="7" t="inlineStr">
        <is>
          <t>Kenderaan pengangkutan membolehkan makanan yang berlainan, atau makanan dan bahan bukan makanan, diasingkan dengan berkesan apabila perlu (contoh: sekatan, rak, bekas bertutup).</t>
        </is>
      </c>
      <c r="C536" s="7" t="inlineStr">
        <is>
          <t>MS 1514 kl. 10.1.2 c) (saranan)</t>
        </is>
      </c>
      <c r="D536" s="7" t="inlineStr"/>
      <c r="E536" s="7" t="inlineStr"/>
      <c r="F536" t="inlineStr">
        <is>
          <t>R</t>
        </is>
      </c>
    </row>
    <row r="537">
      <c r="A537" s="7" t="inlineStr">
        <is>
          <t>R16</t>
        </is>
      </c>
      <c r="B537" s="7" t="inlineStr">
        <is>
          <t>Kenderaan dan bekas melindungi makanan daripada serangan perosak dan pencemaran lain, termasuk habuk dan asap (contoh: ruang muatan tertutup, pintu yang rapat).</t>
        </is>
      </c>
      <c r="C537" s="7" t="inlineStr">
        <is>
          <t>MS 1514 kl. 10.1.2 d) (saranan)</t>
        </is>
      </c>
      <c r="D537" s="7" t="inlineStr"/>
      <c r="E537" s="7" t="inlineStr"/>
      <c r="F537" t="inlineStr">
        <is>
          <t>R</t>
        </is>
      </c>
    </row>
    <row r="538">
      <c r="A538" s="7" t="inlineStr">
        <is>
          <t>R17</t>
        </is>
      </c>
      <c r="B538" s="7" t="inlineStr">
        <is>
          <t>Kenderaan berupaya mengekalkan suhu, kelembapan, atmosfera dan keadaan lain yang diperlukan untuk mencegah pertumbuhan mikrob, penghasilan toksin dan kerosakan makanan.</t>
        </is>
      </c>
      <c r="C538" s="7" t="inlineStr">
        <is>
          <t>MS 1514 kl. 10.1.2 e) (saranan)</t>
        </is>
      </c>
      <c r="D538" s="7" t="inlineStr"/>
      <c r="E538" s="7" t="inlineStr"/>
      <c r="F538" t="inlineStr">
        <is>
          <t>R</t>
        </is>
      </c>
    </row>
    <row r="539">
      <c r="A539" s="7" t="inlineStr">
        <is>
          <t>R18</t>
        </is>
      </c>
      <c r="B539" s="7" t="inlineStr">
        <is>
          <t>Kenderaan membolehkan suhu, kelembapan dan keadaan persekitaran lain diperiksa (contoh: termometer atau perakam data yang berfungsi dan ditentukur).</t>
        </is>
      </c>
      <c r="C539" s="7" t="inlineStr">
        <is>
          <t>MS 1514 kl. 10.1.2 f) (saranan)</t>
        </is>
      </c>
      <c r="D539" s="7" t="inlineStr"/>
      <c r="E539" s="7" t="inlineStr"/>
      <c r="F539" t="inlineStr">
        <is>
          <t>R</t>
        </is>
      </c>
    </row>
    <row r="540">
      <c r="A540" s="7" t="inlineStr">
        <is>
          <t>R19</t>
        </is>
      </c>
      <c r="B540" s="7" t="inlineStr">
        <is>
          <t>Kenderaan dan bekas pengangkutan makanan bersih, dibaiki dan berada dalam keadaan baik (semak secara fizikal serta rekod pembersihan dan penyelenggaraan kenderaan).</t>
        </is>
      </c>
      <c r="C540" s="7" t="inlineStr">
        <is>
          <t>MS 1514 kl. 10.2.1</t>
        </is>
      </c>
      <c r="D540" s="7" t="inlineStr"/>
      <c r="E540" s="7" t="inlineStr"/>
      <c r="F540" t="inlineStr">
        <is>
          <t>R</t>
        </is>
      </c>
    </row>
    <row r="541">
      <c r="A541" s="7" t="inlineStr">
        <is>
          <t>R20</t>
        </is>
      </c>
      <c r="B541" s="7" t="inlineStr">
        <is>
          <t>Apabila kenderaan atau bekas yang sama digunakan untuk mengangkut makanan berlainan atau bahan bukan makanan, pembersihan berkesan dan, jika perlu, penyahjangkitan dilakukan antara muatan.</t>
        </is>
      </c>
      <c r="C541" s="7" t="inlineStr">
        <is>
          <t>MS 1514 kl. 10.2.1 (saranan)</t>
        </is>
      </c>
      <c r="D541" s="7" t="inlineStr"/>
      <c r="E541" s="7" t="inlineStr"/>
      <c r="F541" t="inlineStr">
        <is>
          <t>R</t>
        </is>
      </c>
    </row>
    <row r="542">
      <c r="A542" s="7" t="inlineStr">
        <is>
          <t>R21</t>
        </is>
      </c>
      <c r="B542" s="7" t="inlineStr">
        <is>
          <t>Jika sesuai, terutamanya bagi pengangkutan pukal, bekas dan kenderaan ditetapkan serta ditanda untuk kegunaan makanan sahaja dan digunakan hanya untuk tujuan itu.</t>
        </is>
      </c>
      <c r="C542" s="7" t="inlineStr">
        <is>
          <t>MS 1514 kl. 10.2.2 (saranan)</t>
        </is>
      </c>
      <c r="D542" s="7" t="inlineStr"/>
      <c r="E542" s="7" t="inlineStr"/>
      <c r="F542" t="inlineStr">
        <is>
          <t>R</t>
        </is>
      </c>
    </row>
    <row r="543">
      <c r="A543" s="4" t="inlineStr">
        <is>
          <t>Bahagian S: GMP MS 1514: Pemeriksaan dalaman, kajian semula, dokumentasi dan perundangan</t>
        </is>
      </c>
      <c r="B543" s="5" t="n"/>
      <c r="C543" s="5" t="n"/>
      <c r="D543" s="5" t="n"/>
      <c r="E543" s="6" t="n"/>
    </row>
    <row r="544" ht="26" customHeight="1">
      <c r="A544" s="2" t="inlineStr">
        <is>
          <t>Semak pemeriksaan kendiri, audit dalaman, kajian semula pengurusan, kawalan dokumen dan rekod serta pematuhan undang-undang mengikut MS 1514:2022 klausa 11 hingga 14.</t>
        </is>
      </c>
    </row>
    <row r="545">
      <c r="A545" s="7" t="inlineStr">
        <is>
          <t>S1</t>
        </is>
      </c>
      <c r="B545" s="7" t="inlineStr">
        <is>
          <t>Pemeriksaan kendiri ke atas semua kemudahan loji dan barisan pemprosesan dijalankan secara berkala untuk memastikan kecukupan dan keberkesanan program GMP (bukti: jadual pemeriksaan, senarai semak dan rekod hasil pemeriksaan).</t>
        </is>
      </c>
      <c r="C545" s="7" t="inlineStr">
        <is>
          <t>MS 1514 kl. 11.1</t>
        </is>
      </c>
      <c r="D545" s="7" t="inlineStr"/>
      <c r="E545" s="7" t="inlineStr"/>
      <c r="F545" t="inlineStr">
        <is>
          <t>S</t>
        </is>
      </c>
    </row>
    <row r="546">
      <c r="A546" s="7" t="inlineStr">
        <is>
          <t>S2</t>
        </is>
      </c>
      <c r="B546" s="7" t="inlineStr">
        <is>
          <t>Personel yang menjalankan pemeriksaan kendiri dilantik secara rasmi (contoh: surat lantikan atau senarai tanggungjawab).</t>
        </is>
      </c>
      <c r="C546" s="7" t="inlineStr">
        <is>
          <t>MS 1514 kl. 11.1</t>
        </is>
      </c>
      <c r="D546" s="7" t="inlineStr"/>
      <c r="E546" s="7" t="inlineStr"/>
      <c r="F546" t="inlineStr">
        <is>
          <t>S</t>
        </is>
      </c>
    </row>
    <row r="547">
      <c r="A547" s="7" t="inlineStr">
        <is>
          <t>S3</t>
        </is>
      </c>
      <c r="B547" s="7" t="inlineStr">
        <is>
          <t>Audit dalaman dirancang (pelan atau jadual audit) dan dijalankan sekurang-kurangnya sekali setahun, dan laporan audit tersedia.</t>
        </is>
      </c>
      <c r="C547" s="7" t="inlineStr">
        <is>
          <t>MS 1514 kl. 11.2.1</t>
        </is>
      </c>
      <c r="D547" s="7" t="inlineStr"/>
      <c r="E547" s="7" t="inlineStr"/>
      <c r="F547" t="inlineStr">
        <is>
          <t>S</t>
        </is>
      </c>
    </row>
    <row r="548">
      <c r="A548" s="7" t="inlineStr">
        <is>
          <t>S4</t>
        </is>
      </c>
      <c r="B548" s="7" t="inlineStr">
        <is>
          <t>Juruaudit dalaman ditetapkan oleh pihak pengurusan (bukti lantikan).</t>
        </is>
      </c>
      <c r="C548" s="7" t="inlineStr">
        <is>
          <t>MS 1514 kl. 11.2.1</t>
        </is>
      </c>
      <c r="D548" s="7" t="inlineStr"/>
      <c r="E548" s="7" t="inlineStr"/>
      <c r="F548" t="inlineStr">
        <is>
          <t>S</t>
        </is>
      </c>
    </row>
    <row r="549">
      <c r="A549" s="7" t="inlineStr">
        <is>
          <t>S5</t>
        </is>
      </c>
      <c r="B549" s="7" t="inlineStr">
        <is>
          <t>Juruaudit dalaman bebas dan tidak mengaudit kerja mereka sendiri (semak padanan juruaudit dengan kawasan yang diaudit dalam pelan dan laporan audit).</t>
        </is>
      </c>
      <c r="C549" s="7" t="inlineStr">
        <is>
          <t>MS 1514 kl. 11.2.1</t>
        </is>
      </c>
      <c r="D549" s="7" t="inlineStr"/>
      <c r="E549" s="7" t="inlineStr"/>
      <c r="F549" t="inlineStr">
        <is>
          <t>S</t>
        </is>
      </c>
    </row>
    <row r="550">
      <c r="A550" s="7" t="inlineStr">
        <is>
          <t>S6</t>
        </is>
      </c>
      <c r="B550" s="7" t="inlineStr">
        <is>
          <t>Audit turut dijalankan ke atas pembekal dan kontraktor (jadual dan laporan audit pembekal atau kontraktor).</t>
        </is>
      </c>
      <c r="C550" s="7" t="inlineStr">
        <is>
          <t>MS 1514 kl. 11.2.2 (saranan)</t>
        </is>
      </c>
      <c r="D550" s="7" t="inlineStr"/>
      <c r="E550" s="7" t="inlineStr"/>
      <c r="F550" t="inlineStr">
        <is>
          <t>S</t>
        </is>
      </c>
    </row>
    <row r="551">
      <c r="A551" s="7" t="inlineStr">
        <is>
          <t>S7</t>
        </is>
      </c>
      <c r="B551" s="7" t="inlineStr">
        <is>
          <t>Tindakan pembetulan diambil tanpa kelewatan yang tidak wajar bagi setiap ketidakakuran yang ditemui (rekod tindakan pembetulan dengan tarikh sasaran dan tarikh siap).</t>
        </is>
      </c>
      <c r="C551" s="7" t="inlineStr">
        <is>
          <t>MS 1514 kl. 11.2.3</t>
        </is>
      </c>
      <c r="D551" s="7" t="inlineStr"/>
      <c r="E551" s="7" t="inlineStr"/>
      <c r="F551" t="inlineStr">
        <is>
          <t>S</t>
        </is>
      </c>
    </row>
    <row r="552">
      <c r="A552" s="7" t="inlineStr">
        <is>
          <t>S8</t>
        </is>
      </c>
      <c r="B552" s="7" t="inlineStr">
        <is>
          <t>Setiap ketidakakuran ditutup hanya selepas tindakan yang memuaskan diambil dan disahkan (rekod penutupan dan pengesahan).</t>
        </is>
      </c>
      <c r="C552" s="7" t="inlineStr">
        <is>
          <t>MS 1514 kl. 11.2.3</t>
        </is>
      </c>
      <c r="D552" s="7" t="inlineStr"/>
      <c r="E552" s="7" t="inlineStr"/>
      <c r="F552" t="inlineStr">
        <is>
          <t>S</t>
        </is>
      </c>
    </row>
    <row r="553">
      <c r="A553" s="7" t="inlineStr">
        <is>
          <t>S9</t>
        </is>
      </c>
      <c r="B553" s="7" t="inlineStr">
        <is>
          <t>Pengurusan yang mempunyai tanggungjawab eksekutif menjalankan kajian semula pengurusan terhadap GMP pada selang masa yang ditetapkan (minit mesyuarat dan senarai kehadiran).</t>
        </is>
      </c>
      <c r="C553" s="7" t="inlineStr">
        <is>
          <t>MS 1514 kl. 12</t>
        </is>
      </c>
      <c r="D553" s="7" t="inlineStr"/>
      <c r="E553" s="7" t="inlineStr"/>
      <c r="F553" t="inlineStr">
        <is>
          <t>S</t>
        </is>
      </c>
    </row>
    <row r="554">
      <c r="A554" s="7" t="inlineStr">
        <is>
          <t>S10</t>
        </is>
      </c>
      <c r="B554" s="7" t="inlineStr">
        <is>
          <t>Kajian semula pengurusan menilai kesesuaian dan keberkesanan GMP yang berterusan, termasuk pemenuhan keperluan pelanggan, keperluan pihak berkuasa dan keperluan GMP syarikat.</t>
        </is>
      </c>
      <c r="C554" s="7" t="inlineStr">
        <is>
          <t>MS 1514 kl. 12</t>
        </is>
      </c>
      <c r="D554" s="7" t="inlineStr"/>
      <c r="E554" s="7" t="inlineStr"/>
      <c r="F554" t="inlineStr">
        <is>
          <t>S</t>
        </is>
      </c>
    </row>
    <row r="555">
      <c r="A555" s="7" t="inlineStr">
        <is>
          <t>S11</t>
        </is>
      </c>
      <c r="B555" s="7" t="inlineStr">
        <is>
          <t>Semua dokumen yang dikehendaki oleh GMP dikawal (contoh: senarai induk dokumen dengan nombor rujukan dan status semakan).</t>
        </is>
      </c>
      <c r="C555" s="7" t="inlineStr">
        <is>
          <t>MS 1514 kl. 13.1.1</t>
        </is>
      </c>
      <c r="D555" s="7" t="inlineStr"/>
      <c r="E555" s="7" t="inlineStr"/>
      <c r="F555" t="inlineStr">
        <is>
          <t>S</t>
        </is>
      </c>
    </row>
    <row r="556">
      <c r="A556" s="7" t="inlineStr">
        <is>
          <t>S12</t>
        </is>
      </c>
      <c r="B556" s="7" t="inlineStr">
        <is>
          <t>Rekod turut dikawal mengikut keperluan kawalan dokumen dalam 13.1.2.</t>
        </is>
      </c>
      <c r="C556" s="7" t="inlineStr">
        <is>
          <t>MS 1514 kl. 13.1.1</t>
        </is>
      </c>
      <c r="D556" s="7" t="inlineStr"/>
      <c r="E556" s="7" t="inlineStr"/>
      <c r="F556" t="inlineStr">
        <is>
          <t>S</t>
        </is>
      </c>
    </row>
    <row r="557">
      <c r="A557" s="7" t="inlineStr">
        <is>
          <t>S13</t>
        </is>
      </c>
      <c r="B557" s="7" t="inlineStr">
        <is>
          <t>Prosedur kawalan dokumen bertulis diwujudkan, dan prosedur itu menetapkan kawalan bagi semua perkara a) hingga g) dalam klausa 13.1.2.</t>
        </is>
      </c>
      <c r="C557" s="7" t="inlineStr">
        <is>
          <t>MS 1514 kl. 13.1.2</t>
        </is>
      </c>
      <c r="D557" s="7" t="inlineStr"/>
      <c r="E557" s="7" t="inlineStr"/>
      <c r="F557" t="inlineStr">
        <is>
          <t>S</t>
        </is>
      </c>
    </row>
    <row r="558">
      <c r="A558" s="7" t="inlineStr">
        <is>
          <t>S14</t>
        </is>
      </c>
      <c r="B558" s="7" t="inlineStr">
        <is>
          <t>Dokumen disemak kecukupannya dan diluluskan sebelum dikeluarkan (bukti: tandatangan dan tarikh kelulusan).</t>
        </is>
      </c>
      <c r="C558" s="7" t="inlineStr">
        <is>
          <t>MS 1514 kl. 13.1.2 a)</t>
        </is>
      </c>
      <c r="D558" s="7" t="inlineStr"/>
      <c r="E558" s="7" t="inlineStr"/>
      <c r="F558" t="inlineStr">
        <is>
          <t>S</t>
        </is>
      </c>
    </row>
    <row r="559">
      <c r="A559" s="7" t="inlineStr">
        <is>
          <t>S15</t>
        </is>
      </c>
      <c r="B559" s="7" t="inlineStr">
        <is>
          <t>Dokumen dikaji semula, dikemas kini apabila perlu, dan diluluskan semula.</t>
        </is>
      </c>
      <c r="C559" s="7" t="inlineStr">
        <is>
          <t>MS 1514 kl. 13.1.2 b)</t>
        </is>
      </c>
      <c r="D559" s="7" t="inlineStr"/>
      <c r="E559" s="7" t="inlineStr"/>
      <c r="F559" t="inlineStr">
        <is>
          <t>S</t>
        </is>
      </c>
    </row>
    <row r="560">
      <c r="A560" s="7" t="inlineStr">
        <is>
          <t>S16</t>
        </is>
      </c>
      <c r="B560" s="7" t="inlineStr">
        <is>
          <t>Perubahan dan status semakan semasa dokumen dapat dikenal pasti (contoh: nombor semakan, tarikh kuat kuasa, rekod pindaan).</t>
        </is>
      </c>
      <c r="C560" s="7" t="inlineStr">
        <is>
          <t>MS 1514 kl. 13.1.2 c)</t>
        </is>
      </c>
      <c r="D560" s="7" t="inlineStr"/>
      <c r="E560" s="7" t="inlineStr"/>
      <c r="F560" t="inlineStr">
        <is>
          <t>S</t>
        </is>
      </c>
    </row>
    <row r="561">
      <c r="A561" s="7" t="inlineStr">
        <is>
          <t>S17</t>
        </is>
      </c>
      <c r="B561" s="7" t="inlineStr">
        <is>
          <t>Versi terkini dokumen yang berkaitan tersedia di tempat dokumen itu digunakan (contoh: SOP terkini di kawasan pengeluaran).</t>
        </is>
      </c>
      <c r="C561" s="7" t="inlineStr">
        <is>
          <t>MS 1514 kl. 13.1.2 d)</t>
        </is>
      </c>
      <c r="D561" s="7" t="inlineStr"/>
      <c r="E561" s="7" t="inlineStr"/>
      <c r="F561" t="inlineStr">
        <is>
          <t>S</t>
        </is>
      </c>
    </row>
    <row r="562">
      <c r="A562" s="7" t="inlineStr">
        <is>
          <t>S18</t>
        </is>
      </c>
      <c r="B562" s="7" t="inlineStr">
        <is>
          <t>Dokumen kekal mudah dibaca dan mudah dikenal pasti.</t>
        </is>
      </c>
      <c r="C562" s="7" t="inlineStr">
        <is>
          <t>MS 1514 kl. 13.1.2 e)</t>
        </is>
      </c>
      <c r="D562" s="7" t="inlineStr"/>
      <c r="E562" s="7" t="inlineStr"/>
      <c r="F562" t="inlineStr">
        <is>
          <t>S</t>
        </is>
      </c>
    </row>
    <row r="563">
      <c r="A563" s="7" t="inlineStr">
        <is>
          <t>S19</t>
        </is>
      </c>
      <c r="B563" s="7" t="inlineStr">
        <is>
          <t>Dokumen luaran yang berkaitan (contoh: peraturan, standard, spesifikasi pelanggan) dikenal pasti dan pengedarannya dikawal.</t>
        </is>
      </c>
      <c r="C563" s="7" t="inlineStr">
        <is>
          <t>MS 1514 kl. 13.1.2 f)</t>
        </is>
      </c>
      <c r="D563" s="7" t="inlineStr"/>
      <c r="E563" s="7" t="inlineStr"/>
      <c r="F563" t="inlineStr">
        <is>
          <t>S</t>
        </is>
      </c>
    </row>
    <row r="564">
      <c r="A564" s="7" t="inlineStr">
        <is>
          <t>S20</t>
        </is>
      </c>
      <c r="B564" s="7" t="inlineStr">
        <is>
          <t>Dokumen lapuk tidak digunakan secara tidak sengaja, dan dokumen lapuk yang disimpan ditanda dengan jelas (contoh: cop 'TIDAK SAH' atau 'LAPUK').</t>
        </is>
      </c>
      <c r="C564" s="7" t="inlineStr">
        <is>
          <t>MS 1514 kl. 13.1.2 g)</t>
        </is>
      </c>
      <c r="D564" s="7" t="inlineStr"/>
      <c r="E564" s="7" t="inlineStr"/>
      <c r="F564" t="inlineStr">
        <is>
          <t>S</t>
        </is>
      </c>
    </row>
    <row r="565">
      <c r="A565" s="7" t="inlineStr">
        <is>
          <t>S21</t>
        </is>
      </c>
      <c r="B565" s="7" t="inlineStr">
        <is>
          <t>Rekod diwujudkan dan disimpan sebagai bukti pematuhan kepada keperluan dan pelaksanaan GMP yang berkesan.</t>
        </is>
      </c>
      <c r="C565" s="7" t="inlineStr">
        <is>
          <t>MS 1514 kl. 13.2.1</t>
        </is>
      </c>
      <c r="D565" s="7" t="inlineStr"/>
      <c r="E565" s="7" t="inlineStr"/>
      <c r="F565" t="inlineStr">
        <is>
          <t>S</t>
        </is>
      </c>
    </row>
    <row r="566">
      <c r="A566" s="7" t="inlineStr">
        <is>
          <t>S22</t>
        </is>
      </c>
      <c r="B566" s="7" t="inlineStr">
        <is>
          <t>Rekod kekal mudah dibaca, mudah dikenal pasti dan boleh didapatkan semula apabila diminta.</t>
        </is>
      </c>
      <c r="C566" s="7" t="inlineStr">
        <is>
          <t>MS 1514 kl. 13.2.1</t>
        </is>
      </c>
      <c r="D566" s="7" t="inlineStr"/>
      <c r="E566" s="7" t="inlineStr"/>
      <c r="F566" t="inlineStr">
        <is>
          <t>S</t>
        </is>
      </c>
    </row>
    <row r="567">
      <c r="A567" s="7" t="inlineStr">
        <is>
          <t>S23</t>
        </is>
      </c>
      <c r="B567" s="7" t="inlineStr">
        <is>
          <t>Rekod pemprosesan, pengeluaran dan pengedaran disimpan bagi tempoh yang melebihi jangka hayat produk.</t>
        </is>
      </c>
      <c r="C567" s="7" t="inlineStr">
        <is>
          <t>MS 1514 kl. 13.2.2 (saranan)</t>
        </is>
      </c>
      <c r="D567" s="7" t="inlineStr"/>
      <c r="E567" s="7" t="inlineStr"/>
      <c r="F567" t="inlineStr">
        <is>
          <t>S</t>
        </is>
      </c>
    </row>
    <row r="568">
      <c r="A568" s="7" t="inlineStr">
        <is>
          <t>S24</t>
        </is>
      </c>
      <c r="B568" s="7" t="inlineStr">
        <is>
          <t>Rekod kebolehkesanan disimpan bagi tempoh yang ditetapkan dan dinyatakan, untuk penilaian sistem, pengendalian produk yang berpotensi tidak selamat dan penarikan balik produk.</t>
        </is>
      </c>
      <c r="C568" s="7" t="inlineStr">
        <is>
          <t>MS 1514 kl. 13.2.3</t>
        </is>
      </c>
      <c r="D568" s="7" t="inlineStr"/>
      <c r="E568" s="7" t="inlineStr"/>
      <c r="F568" t="inlineStr">
        <is>
          <t>S</t>
        </is>
      </c>
    </row>
    <row r="569">
      <c r="A569" s="7" t="inlineStr">
        <is>
          <t>S25</t>
        </is>
      </c>
      <c r="B569" s="7" t="inlineStr">
        <is>
          <t>Rekod kebolehkesanan, termasuk tempoh simpanannya, mematuhi keperluan statutori, keperluan peraturan dan keperluan pelanggan.</t>
        </is>
      </c>
      <c r="C569" s="7" t="inlineStr">
        <is>
          <t>MS 1514 kl. 13.2.3</t>
        </is>
      </c>
      <c r="D569" s="7" t="inlineStr"/>
      <c r="E569" s="7" t="inlineStr"/>
      <c r="F569" t="inlineStr">
        <is>
          <t>S</t>
        </is>
      </c>
    </row>
    <row r="570">
      <c r="A570" s="7" t="inlineStr">
        <is>
          <t>S26</t>
        </is>
      </c>
      <c r="B570" s="7" t="inlineStr">
        <is>
          <t>Sistem turut mematuhi perundangan dan keperluan berkaitan lain yang sedang berkuat kuasa di Malaysia (bukti: senarai perundangan terpakai, contohnya Akta Makanan 1983, Peraturan-Peraturan Makanan 1985 dan Peraturan-Peraturan Kebersihan Makanan 2009, serta bukti pematuhannya).</t>
        </is>
      </c>
      <c r="C570" s="7" t="inlineStr">
        <is>
          <t>MS 1514 kl. 14</t>
        </is>
      </c>
      <c r="D570" s="7" t="inlineStr"/>
      <c r="E570" s="7" t="inlineStr"/>
      <c r="F570" t="inlineStr">
        <is>
          <t>S</t>
        </is>
      </c>
    </row>
    <row r="571">
      <c r="A571" s="4" t="inlineStr">
        <is>
          <t>Bahagian T: HACCP MS 1480: Keperluan am dan program prasyarat</t>
        </is>
      </c>
      <c r="B571" s="5" t="n"/>
      <c r="C571" s="5" t="n"/>
      <c r="D571" s="5" t="n"/>
      <c r="E571" s="6" t="n"/>
    </row>
    <row r="572" ht="26" customHeight="1">
      <c r="A572" s="2" t="inlineStr">
        <is>
          <t>Bahagian HACCP terpakai jika kilang melaksanakan atau memohon pensijilan HACCP MS 1480:2025; MPPHM tidak mewajibkannya, jadi tandakan TB jika tidak berkaitan. Semak tanggungjawab pengurusan, perihalan produk, kegunaan, carta alir dan program prasyarat (klausa 4 dan 5).</t>
        </is>
      </c>
    </row>
    <row r="573">
      <c r="A573" s="7" t="inlineStr">
        <is>
          <t>T1</t>
        </is>
      </c>
      <c r="B573" s="7" t="inlineStr">
        <is>
          <t>Polisi keselamatan makanan telah ditetapkan dan didokumenkan oleh pengurusan, menyatakan komitmen dan sumber yang diperuntukkan untuk memastikan produk/perkhidmatan selamat kepada pengguna dan mematuhi keperluan perundangan yang berkaitan.</t>
        </is>
      </c>
      <c r="C573" s="7" t="inlineStr">
        <is>
          <t>MS 1480 kl. 4.1.1.1</t>
        </is>
      </c>
      <c r="D573" s="7" t="inlineStr"/>
      <c r="E573" s="7" t="inlineStr"/>
      <c r="F573" t="inlineStr">
        <is>
          <t>T</t>
        </is>
      </c>
    </row>
    <row r="574">
      <c r="A574" s="7" t="inlineStr">
        <is>
          <t>T2</t>
        </is>
      </c>
      <c r="B574" s="7" t="inlineStr">
        <is>
          <t>Polisi keselamatan makanan disokong oleh objektif keselamatan makanan yang boleh diukur (cth. sasaran berangka yang boleh dipantau pencapaiannya).</t>
        </is>
      </c>
      <c r="C574" s="7" t="inlineStr">
        <is>
          <t>MS 1480 kl. 4.1.1.1</t>
        </is>
      </c>
      <c r="D574" s="7" t="inlineStr"/>
      <c r="E574" s="7" t="inlineStr"/>
      <c r="F574" t="inlineStr">
        <is>
          <t>T</t>
        </is>
      </c>
    </row>
    <row r="575">
      <c r="A575" s="7" t="inlineStr">
        <is>
          <t>T3</t>
        </is>
      </c>
      <c r="B575" s="7" t="inlineStr">
        <is>
          <t>Polisi dan objektif keselamatan makanan relevan dan selaras dengan matlamat perniagaan organisasi serta memenuhi keperluan keselamatan makanan pelanggan, pihak berkuasa dan organisasi sendiri.</t>
        </is>
      </c>
      <c r="C575" s="7" t="inlineStr">
        <is>
          <t>MS 1480 kl. 4.1.1.2</t>
        </is>
      </c>
      <c r="D575" s="7" t="inlineStr"/>
      <c r="E575" s="7" t="inlineStr"/>
      <c r="F575" t="inlineStr">
        <is>
          <t>T</t>
        </is>
      </c>
    </row>
    <row r="576">
      <c r="A576" s="7" t="inlineStr">
        <is>
          <t>T4</t>
        </is>
      </c>
      <c r="B576" s="7" t="inlineStr">
        <is>
          <t>Polisi dan objektif keselamatan makanan dilaksanakan dan diselenggara (cth. versi terkini digunakan dalam operasi dan terdapat bukti pelaksanaan seperti laporan prestasi objektif).</t>
        </is>
      </c>
      <c r="C576" s="7" t="inlineStr">
        <is>
          <t>MS 1480 kl. 4.1.1.3</t>
        </is>
      </c>
      <c r="D576" s="7" t="inlineStr"/>
      <c r="E576" s="7" t="inlineStr"/>
      <c r="F576" t="inlineStr">
        <is>
          <t>T</t>
        </is>
      </c>
    </row>
    <row r="577">
      <c r="A577" s="7" t="inlineStr">
        <is>
          <t>T5</t>
        </is>
      </c>
      <c r="B577" s="7" t="inlineStr">
        <is>
          <t>Polisi dan objektif keselamatan makanan dikomunikasikan dalam organisasi (cth. dipamerkan, taklimat, pekerja boleh menyatakannya) dan kepada pihak luar yang berkaitan (cth. pembekal, pelanggan, kontraktor).</t>
        </is>
      </c>
      <c r="C577" s="7" t="inlineStr">
        <is>
          <t>MS 1480 kl. 4.1.1.3</t>
        </is>
      </c>
      <c r="D577" s="7" t="inlineStr"/>
      <c r="E577" s="7" t="inlineStr"/>
      <c r="F577" t="inlineStr">
        <is>
          <t>T</t>
        </is>
      </c>
    </row>
    <row r="578">
      <c r="A578" s="7" t="inlineStr">
        <is>
          <t>T6</t>
        </is>
      </c>
      <c r="B578" s="7" t="inlineStr">
        <is>
          <t>Skop sistem HACCP didokumenkan dan menyatakan produk/kategori produk/perkhidmatan, tapak pengeluaran serta semua aktiviti yang diliputi dari peringkat awal hingga akhir (cth. dari penerimaan bahan mentah hingga penghantaran).</t>
        </is>
      </c>
      <c r="C578" s="7" t="inlineStr">
        <is>
          <t>MS 1480 kl. 4.1.1.4</t>
        </is>
      </c>
      <c r="D578" s="7" t="inlineStr"/>
      <c r="E578" s="7" t="inlineStr"/>
      <c r="F578" t="inlineStr">
        <is>
          <t>T</t>
        </is>
      </c>
    </row>
    <row r="579">
      <c r="A579" s="7" t="inlineStr">
        <is>
          <t>T7</t>
        </is>
      </c>
      <c r="B579" s="7" t="inlineStr">
        <is>
          <t>Pasukan HACCP dan penyelaras/ketua pasukan HACCP dilantik secara rasmi oleh pengurusan (cth. surat lantikan atau minit mesyuarat yang ditandatangani).</t>
        </is>
      </c>
      <c r="C579" s="7" t="inlineStr">
        <is>
          <t>MS 1480 kl. 4.1.2.1</t>
        </is>
      </c>
      <c r="D579" s="7" t="inlineStr"/>
      <c r="E579" s="7" t="inlineStr"/>
      <c r="F579" t="inlineStr">
        <is>
          <t>T</t>
        </is>
      </c>
    </row>
    <row r="580">
      <c r="A580" s="7" t="inlineStr">
        <is>
          <t>T8</t>
        </is>
      </c>
      <c r="B580" s="7" t="inlineStr">
        <is>
          <t>Tugas, tanggungjawab dan kuasa pasukan HACCP serta penyelaras/ketua pasukan ditakrifkan, didokumenkan dan dikomunikasikan kepada pihak yang berkaitan bagi memastikan sistem HACCP beroperasi dengan berkesan.</t>
        </is>
      </c>
      <c r="C580" s="7" t="inlineStr">
        <is>
          <t>MS 1480 kl. 4.1.2.1</t>
        </is>
      </c>
      <c r="D580" s="7" t="inlineStr"/>
      <c r="E580" s="7" t="inlineStr"/>
      <c r="F580" t="inlineStr">
        <is>
          <t>T</t>
        </is>
      </c>
    </row>
    <row r="581">
      <c r="A581" s="7" t="inlineStr">
        <is>
          <t>T9</t>
        </is>
      </c>
      <c r="B581" s="7" t="inlineStr">
        <is>
          <t>Penyelaras/ketua pasukan HACCP dan/atau ahli pasukan HACCP telah menerima latihan formal mengenai prinsip HACCP dan aplikasinya (sijil atau rekod latihan disimpan).</t>
        </is>
      </c>
      <c r="C581" s="7" t="inlineStr">
        <is>
          <t>MS 1480 kl. 4.1.2.1</t>
        </is>
      </c>
      <c r="D581" s="7" t="inlineStr"/>
      <c r="E581" s="7" t="inlineStr"/>
      <c r="F581" t="inlineStr">
        <is>
          <t>T</t>
        </is>
      </c>
    </row>
    <row r="582">
      <c r="A582" s="7" t="inlineStr">
        <is>
          <t>T10</t>
        </is>
      </c>
      <c r="B582" s="7" t="inlineStr">
        <is>
          <t>Pengurusan menyediakan sumber (kakitangan, peralatan, kewangan) dan latihan yang mencukupi untuk pelaksanaan dan kawalan sistem HACCP.</t>
        </is>
      </c>
      <c r="C582" s="7" t="inlineStr">
        <is>
          <t>MS 1480 kl. 4.1.2.1</t>
        </is>
      </c>
      <c r="D582" s="7" t="inlineStr"/>
      <c r="E582" s="7" t="inlineStr"/>
      <c r="F582" t="inlineStr">
        <is>
          <t>T</t>
        </is>
      </c>
    </row>
    <row r="583">
      <c r="A583" s="7" t="inlineStr">
        <is>
          <t>T11</t>
        </is>
      </c>
      <c r="B583" s="7" t="inlineStr">
        <is>
          <t>Carta organisasi terkini yang menunjukkan struktur pelaporan pasukan HACCP tersedia.</t>
        </is>
      </c>
      <c r="C583" s="7" t="inlineStr">
        <is>
          <t>MS 1480 kl. 4.1.2.1</t>
        </is>
      </c>
      <c r="D583" s="7" t="inlineStr"/>
      <c r="E583" s="7" t="inlineStr"/>
      <c r="F583" t="inlineStr">
        <is>
          <t>T</t>
        </is>
      </c>
    </row>
    <row r="584">
      <c r="A584" s="7" t="inlineStr">
        <is>
          <t>T12</t>
        </is>
      </c>
      <c r="B584" s="7" t="inlineStr">
        <is>
          <t>Pengurusan memastikan sistem HACCP kekal berkesan dalam memenuhi keperluan keselamatan makanan (cth. bukti semakan pengurusan dan tindakan susulan ke atas isu keselamatan makanan).</t>
        </is>
      </c>
      <c r="C584" s="7" t="inlineStr">
        <is>
          <t>MS 1480 kl. 4.1.2.1</t>
        </is>
      </c>
      <c r="D584" s="7" t="inlineStr"/>
      <c r="E584" s="7" t="inlineStr"/>
      <c r="F584" t="inlineStr">
        <is>
          <t>T</t>
        </is>
      </c>
    </row>
    <row r="585">
      <c r="A585" s="7" t="inlineStr">
        <is>
          <t>T13</t>
        </is>
      </c>
      <c r="B585" s="7" t="inlineStr">
        <is>
          <t>Pasukan HACCP pelbagai disiplin (cth. pengeluaran, kawalan kualiti, penyelenggaraan/kejuruteraan, sanitasi, pembelian) ditubuhkan untuk membangun, menyelenggara dan mengkaji semula sistem HACCP.</t>
        </is>
      </c>
      <c r="C585" s="7" t="inlineStr">
        <is>
          <t>MS 1480 kl. 4.1.2.2</t>
        </is>
      </c>
      <c r="D585" s="7" t="inlineStr"/>
      <c r="E585" s="7" t="inlineStr"/>
      <c r="F585" t="inlineStr">
        <is>
          <t>T</t>
        </is>
      </c>
    </row>
    <row r="586">
      <c r="A586" s="7" t="inlineStr">
        <is>
          <t>T14</t>
        </is>
      </c>
      <c r="B586" s="7" t="inlineStr">
        <is>
          <t>Ahli pasukan HACCP mempunyai pengetahuan dan pengalaman berkaitan produk, proses dan bahaya dalam skop sistem HACCP (bukti: rekod kelayakan, pengalaman kerja atau CV ahli).</t>
        </is>
      </c>
      <c r="C586" s="7" t="inlineStr">
        <is>
          <t>MS 1480 kl. 4.1.2.2</t>
        </is>
      </c>
      <c r="D586" s="7" t="inlineStr"/>
      <c r="E586" s="7" t="inlineStr"/>
      <c r="F586" t="inlineStr">
        <is>
          <t>T</t>
        </is>
      </c>
    </row>
    <row r="587">
      <c r="A587" s="7" t="inlineStr">
        <is>
          <t>T15</t>
        </is>
      </c>
      <c r="B587" s="7" t="inlineStr">
        <is>
          <t>Pasukan HACCP telah mengenal pasti skop sistem HACCP dan program prasyarat (PRP) yang terpakai, dan hasilnya direkodkan.</t>
        </is>
      </c>
      <c r="C587" s="7" t="inlineStr">
        <is>
          <t>MS 1480 kl. 4.1.2.2</t>
        </is>
      </c>
      <c r="D587" s="7" t="inlineStr"/>
      <c r="E587" s="7" t="inlineStr"/>
      <c r="F587" t="inlineStr">
        <is>
          <t>T</t>
        </is>
      </c>
    </row>
    <row r="588">
      <c r="A588" s="7" t="inlineStr">
        <is>
          <t>T16</t>
        </is>
      </c>
      <c r="B588" s="7" t="inlineStr">
        <is>
          <t>Tanggungjawab dan kuasa pasukan HACCP ditakrifkan dengan jelas untuk mengenal pasti dan merekodkan sebarang masalah berkaitan produk, proses dan sistem HACCP; rekod masalah yang dikenal pasti tersedia.</t>
        </is>
      </c>
      <c r="C588" s="7" t="inlineStr">
        <is>
          <t>MS 1480 kl. 4.1.2.3</t>
        </is>
      </c>
      <c r="D588" s="7" t="inlineStr"/>
      <c r="E588" s="7" t="inlineStr"/>
      <c r="F588" t="inlineStr">
        <is>
          <t>T</t>
        </is>
      </c>
    </row>
    <row r="589">
      <c r="A589" s="7" t="inlineStr">
        <is>
          <t>T17</t>
        </is>
      </c>
      <c r="B589" s="7" t="inlineStr">
        <is>
          <t>Pasukan HACCP mempunyai kuasa yang jelas untuk memulakan pembetulan, tindakan pembetulan dan kawalan produk tidak akur sehingga sisihan atau keadaan tidak memuaskan diperbetulkan, dengan bukti tindakan tersebut dimulakan.</t>
        </is>
      </c>
      <c r="C589" s="7" t="inlineStr">
        <is>
          <t>MS 1480 kl. 4.1.2.3</t>
        </is>
      </c>
      <c r="D589" s="7" t="inlineStr"/>
      <c r="E589" s="7" t="inlineStr"/>
      <c r="F589" t="inlineStr">
        <is>
          <t>T</t>
        </is>
      </c>
    </row>
    <row r="590">
      <c r="A590" s="7" t="inlineStr">
        <is>
          <t>T18</t>
        </is>
      </c>
      <c r="B590" s="7" t="inlineStr">
        <is>
          <t>Jika sumber dalaman tidak mencukupi, bantuan pakar luar diperoleh untuk operasi atau input dalam mewujudkan sistem HACCP.</t>
        </is>
      </c>
      <c r="C590" s="7" t="inlineStr">
        <is>
          <t>MS 1480 kl. 4.1.2.3</t>
        </is>
      </c>
      <c r="D590" s="7" t="inlineStr"/>
      <c r="E590" s="7" t="inlineStr"/>
      <c r="F590" t="inlineStr">
        <is>
          <t>T</t>
        </is>
      </c>
    </row>
    <row r="591">
      <c r="A591" s="7" t="inlineStr">
        <is>
          <t>T19</t>
        </is>
      </c>
      <c r="B591" s="7" t="inlineStr">
        <is>
          <t>Perjanjian bertulis dengan pakar luar (jika digunakan) wujud dan mendokumenkan tanggungjawab serta kuasa pakar tersebut berkaitan sistem HACCP.</t>
        </is>
      </c>
      <c r="C591" s="7" t="inlineStr">
        <is>
          <t>MS 1480 kl. 4.1.2.3</t>
        </is>
      </c>
      <c r="D591" s="7" t="inlineStr"/>
      <c r="E591" s="7" t="inlineStr"/>
      <c r="F591" t="inlineStr">
        <is>
          <t>T</t>
        </is>
      </c>
    </row>
    <row r="592">
      <c r="A592" s="7" t="inlineStr">
        <is>
          <t>T20</t>
        </is>
      </c>
      <c r="B592" s="7" t="inlineStr">
        <is>
          <t>Tanggungjawab dan kuasa penyelaras/ketua pasukan HACCP didokumenkan untuk memastikan sistem HACCP diwujudkan, dilaksanakan dan diselenggara mengikut MS 1480.</t>
        </is>
      </c>
      <c r="C592" s="7" t="inlineStr">
        <is>
          <t>MS 1480 kl. 4.1.2.4</t>
        </is>
      </c>
      <c r="D592" s="7" t="inlineStr"/>
      <c r="E592" s="7" t="inlineStr"/>
      <c r="F592" t="inlineStr">
        <is>
          <t>T</t>
        </is>
      </c>
    </row>
    <row r="593">
      <c r="A593" s="7" t="inlineStr">
        <is>
          <t>T21</t>
        </is>
      </c>
      <c r="B593" s="7" t="inlineStr">
        <is>
          <t>Penyelaras/ketua pasukan HACCP melaporkan keberkesanan dan kesesuaian sistem HACCP kepada pengurusan untuk semakan dan penambahbaikan (cth. laporan kepada mesyuarat semakan pengurusan).</t>
        </is>
      </c>
      <c r="C593" s="7" t="inlineStr">
        <is>
          <t>MS 1480 kl. 4.1.2.4</t>
        </is>
      </c>
      <c r="D593" s="7" t="inlineStr"/>
      <c r="E593" s="7" t="inlineStr"/>
      <c r="F593" t="inlineStr">
        <is>
          <t>T</t>
        </is>
      </c>
    </row>
    <row r="594">
      <c r="A594" s="7" t="inlineStr">
        <is>
          <t>T22</t>
        </is>
      </c>
      <c r="B594" s="7" t="inlineStr">
        <is>
          <t>Penyelaras/ketua pasukan HACCP mengatur dan menyelaras kerja pasukan HACCP (cth. jadual dan minit mesyuarat pasukan HACCP, agihan tugas).</t>
        </is>
      </c>
      <c r="C594" s="7" t="inlineStr">
        <is>
          <t>MS 1480 kl. 4.1.2.4</t>
        </is>
      </c>
      <c r="D594" s="7" t="inlineStr"/>
      <c r="E594" s="7" t="inlineStr"/>
      <c r="F594" t="inlineStr">
        <is>
          <t>T</t>
        </is>
      </c>
    </row>
    <row r="595">
      <c r="A595" s="7" t="inlineStr">
        <is>
          <t>T23</t>
        </is>
      </c>
      <c r="B595" s="7" t="inlineStr">
        <is>
          <t>Kompetensi yang diperlukan bagi personel yang melakukan kerja yang memberi kesan kepada keselamatan makanan telah ditentukan (bukti: deskripsi tugas atau matriks kompetensi).</t>
        </is>
      </c>
      <c r="C595" s="7" t="inlineStr">
        <is>
          <t>MS 1480 kl. 4.1.3.1</t>
        </is>
      </c>
      <c r="D595" s="7" t="inlineStr"/>
      <c r="E595" s="7" t="inlineStr"/>
      <c r="F595" t="inlineStr">
        <is>
          <t>T</t>
        </is>
      </c>
    </row>
    <row r="596">
      <c r="A596" s="7" t="inlineStr">
        <is>
          <t>T24</t>
        </is>
      </c>
      <c r="B596" s="7" t="inlineStr">
        <is>
          <t>Pelan latihan disediakan dan mengenal pasti jenis latihan yang penting untuk pelaksanaan dan penyelenggaraan sistem HACCP (cth. kebersihan diri, PRP, pemantauan CCP, prinsip HACCP).</t>
        </is>
      </c>
      <c r="C596" s="7" t="inlineStr">
        <is>
          <t>MS 1480 kl. 4.1.3.2</t>
        </is>
      </c>
      <c r="D596" s="7" t="inlineStr"/>
      <c r="E596" s="7" t="inlineStr"/>
      <c r="F596" t="inlineStr">
        <is>
          <t>T</t>
        </is>
      </c>
    </row>
    <row r="597">
      <c r="A597" s="7" t="inlineStr">
        <is>
          <t>T25</t>
        </is>
      </c>
      <c r="B597" s="7" t="inlineStr">
        <is>
          <t>Pelan latihan dilaksanakan; rekod latihan menunjukkan latihan dijalankan seperti yang dirancang.</t>
        </is>
      </c>
      <c r="C597" s="7" t="inlineStr">
        <is>
          <t>MS 1480 kl. 4.1.3.1</t>
        </is>
      </c>
      <c r="D597" s="7" t="inlineStr"/>
      <c r="E597" s="7" t="inlineStr"/>
      <c r="F597" t="inlineStr">
        <is>
          <t>T</t>
        </is>
      </c>
    </row>
    <row r="598">
      <c r="A598" s="7" t="inlineStr">
        <is>
          <t>T26</t>
        </is>
      </c>
      <c r="B598" s="7" t="inlineStr">
        <is>
          <t>Keberkesanan latihan dinilai secara berkala (cth. ujian selepas latihan, pemerhatian di tempat kerja, penilaian penyelia) dan hasil penilaian direkodkan.</t>
        </is>
      </c>
      <c r="C598" s="7" t="inlineStr">
        <is>
          <t>MS 1480 kl. 4.1.3.4</t>
        </is>
      </c>
      <c r="D598" s="7" t="inlineStr"/>
      <c r="E598" s="7" t="inlineStr"/>
      <c r="F598" t="inlineStr">
        <is>
          <t>T</t>
        </is>
      </c>
    </row>
    <row r="599">
      <c r="A599" s="7" t="inlineStr">
        <is>
          <t>T27</t>
        </is>
      </c>
      <c r="B599" s="7" t="inlineStr">
        <is>
          <t>Keperluan latihan dan latihan semula dikaji semula pada selang masa yang sesuai (cth. analisis keperluan latihan yang direkodkan).</t>
        </is>
      </c>
      <c r="C599" s="7" t="inlineStr">
        <is>
          <t>MS 1480 kl. 4.1.3.2</t>
        </is>
      </c>
      <c r="D599" s="7" t="inlineStr"/>
      <c r="E599" s="7" t="inlineStr"/>
      <c r="F599" t="inlineStr">
        <is>
          <t>T</t>
        </is>
      </c>
    </row>
    <row r="600">
      <c r="A600" s="7" t="inlineStr">
        <is>
          <t>T28</t>
        </is>
      </c>
      <c r="B600" s="7" t="inlineStr">
        <is>
          <t>Personel yang bertanggungjawab ke atas pemantauan, pembetulan dan tindakan pembetulan dalam sistem HACCP telah dilatih (rekod latihan bagi setiap individu berkenaan).</t>
        </is>
      </c>
      <c r="C600" s="7" t="inlineStr">
        <is>
          <t>MS 1480 kl. 4.1.3.1</t>
        </is>
      </c>
      <c r="D600" s="7" t="inlineStr"/>
      <c r="E600" s="7" t="inlineStr"/>
      <c r="F600" t="inlineStr">
        <is>
          <t>T</t>
        </is>
      </c>
    </row>
    <row r="601">
      <c r="A601" s="7" t="inlineStr">
        <is>
          <t>T29</t>
        </is>
      </c>
      <c r="B601" s="7" t="inlineStr">
        <is>
          <t>Program kesedaran tentang kepentingan keselamatan makanan dijalankan untuk semua personel yang aktivitinya memberi kesan kepada keselamatan makanan (cth. rekod kehadiran taklimat, bahan kesedaran).</t>
        </is>
      </c>
      <c r="C601" s="7" t="inlineStr">
        <is>
          <t>MS 1480 kl. 4.1.3.1</t>
        </is>
      </c>
      <c r="D601" s="7" t="inlineStr"/>
      <c r="E601" s="7" t="inlineStr"/>
      <c r="F601" t="inlineStr">
        <is>
          <t>T</t>
        </is>
      </c>
    </row>
    <row r="602">
      <c r="A602" s="7" t="inlineStr">
        <is>
          <t>T30</t>
        </is>
      </c>
      <c r="B602" s="7" t="inlineStr">
        <is>
          <t>Rekod pendidikan, latihan, kemahiran dan pengalaman personel diselenggara dengan sewajarnya.</t>
        </is>
      </c>
      <c r="C602" s="7" t="inlineStr">
        <is>
          <t>MS 1480 kl. 4.1.3.1</t>
        </is>
      </c>
      <c r="D602" s="7" t="inlineStr"/>
      <c r="E602" s="7" t="inlineStr"/>
      <c r="F602" t="inlineStr">
        <is>
          <t>T</t>
        </is>
      </c>
    </row>
    <row r="603">
      <c r="A603" s="7" t="inlineStr">
        <is>
          <t>T31</t>
        </is>
      </c>
      <c r="B603" s="7" t="inlineStr">
        <is>
          <t>Latihan dikekalkan pada tahap yang memastikan pekerja mengetahui tanggungjawab masing-masing dalam menyelenggara sistem HACCP (disahkan melalui temu bual dan pemerhatian di tapak).</t>
        </is>
      </c>
      <c r="C603" s="7" t="inlineStr">
        <is>
          <t>MS 1480 kl. 4.1.3.3</t>
        </is>
      </c>
      <c r="D603" s="7" t="inlineStr"/>
      <c r="E603" s="7" t="inlineStr"/>
      <c r="F603" t="inlineStr">
        <is>
          <t>T</t>
        </is>
      </c>
    </row>
    <row r="604">
      <c r="A604" s="7" t="inlineStr">
        <is>
          <t>T32</t>
        </is>
      </c>
      <c r="B604" s="7" t="inlineStr">
        <is>
          <t>Rekod setiap sesi latihan merangkumi sekurang-kurangnya kandungan program, kompetensi jurulatih, penilaian pelatih dan penetapan keperluan latihan semula.</t>
        </is>
      </c>
      <c r="C604" s="7" t="inlineStr">
        <is>
          <t>MS 1480 kl. 4.1.3.3</t>
        </is>
      </c>
      <c r="D604" s="7" t="inlineStr"/>
      <c r="E604" s="7" t="inlineStr"/>
      <c r="F604" t="inlineStr">
        <is>
          <t>T</t>
        </is>
      </c>
    </row>
    <row r="605">
      <c r="A605" s="7" t="inlineStr">
        <is>
          <t>T33</t>
        </is>
      </c>
      <c r="B605" s="7" t="inlineStr">
        <is>
          <t>Program latihan direka bentuk pada tahap yang sesuai dengan pengetahuan dan kemahiran personel yang dilatih (cth. bahasa dan kaedah penyampaian yang sesuai).</t>
        </is>
      </c>
      <c r="C605" s="7" t="inlineStr">
        <is>
          <t>MS 1480 kl. 4.1.3.4</t>
        </is>
      </c>
      <c r="D605" s="7" t="inlineStr"/>
      <c r="E605" s="7" t="inlineStr"/>
      <c r="F605" t="inlineStr">
        <is>
          <t>T</t>
        </is>
      </c>
    </row>
    <row r="606">
      <c r="A606" s="7" t="inlineStr">
        <is>
          <t>T34</t>
        </is>
      </c>
      <c r="B606" s="7" t="inlineStr">
        <is>
          <t>Program latihan dikaji semula secara berkala dan dikemas kini apabila perlu (bukti: rekod semakan atau versi program).</t>
        </is>
      </c>
      <c r="C606" s="7" t="inlineStr">
        <is>
          <t>MS 1480 kl. 4.1.3.4</t>
        </is>
      </c>
      <c r="D606" s="7" t="inlineStr"/>
      <c r="E606" s="7" t="inlineStr"/>
      <c r="F606" t="inlineStr">
        <is>
          <t>T</t>
        </is>
      </c>
    </row>
    <row r="607">
      <c r="A607" s="7" t="inlineStr">
        <is>
          <t>T35</t>
        </is>
      </c>
      <c r="B607" s="7" t="inlineStr">
        <is>
          <t>Penerangan produk yang lengkap didokumenkan bagi setiap produk makanan (atau kumpulan produk) dalam skop sistem HACCP untuk membantu mengenal pasti semua bahaya berpotensi.</t>
        </is>
      </c>
      <c r="C607" s="7" t="inlineStr">
        <is>
          <t>MS 1480 kl. 4.2.1</t>
        </is>
      </c>
      <c r="D607" s="7" t="inlineStr"/>
      <c r="E607" s="7" t="inlineStr"/>
      <c r="F607" t="inlineStr">
        <is>
          <t>T</t>
        </is>
      </c>
    </row>
    <row r="608">
      <c r="A608" s="7" t="inlineStr">
        <is>
          <t>T36</t>
        </is>
      </c>
      <c r="B608" s="7" t="inlineStr">
        <is>
          <t>Penerangan produk mengambil kira, di mana sesuai: bahan yang digunakan; bahan alergen yang dikenal pasti; ciri biologi/kimia/fizikal; kaedah/teknologi pemprosesan; pembungkusan dan pelabelan; jangka hayat; keadaan penyimpanan dan kaedah pengedaran; serta kegunaan dan pengguna yang dimaksudkan.</t>
        </is>
      </c>
      <c r="C608" s="7" t="inlineStr">
        <is>
          <t>MS 1480 kl. 4.2.1</t>
        </is>
      </c>
      <c r="D608" s="7" t="inlineStr"/>
      <c r="E608" s="7" t="inlineStr"/>
      <c r="F608" t="inlineStr">
        <is>
          <t>T</t>
        </is>
      </c>
    </row>
    <row r="609">
      <c r="A609" s="7" t="inlineStr">
        <is>
          <t>T37</t>
        </is>
      </c>
      <c r="B609" s="7" t="inlineStr">
        <is>
          <t>Had berkaitan bahaya yang telah ditetapkan untuk produk (cth. had bahan tambah makanan, kriteria mikrobiologi perundangan, had maksimum residu ubat veterinar, masa dan suhu rawatan haba yang ditetapkan pihak berkuasa) dipertimbangkan dan diambil kira dalam pelan HACCP.</t>
        </is>
      </c>
      <c r="C609" s="7" t="inlineStr">
        <is>
          <t>MS 1480 kl. 4.2.2 (saranan)</t>
        </is>
      </c>
      <c r="D609" s="7" t="inlineStr"/>
      <c r="E609" s="7" t="inlineStr"/>
      <c r="F609" t="inlineStr">
        <is>
          <t>T</t>
        </is>
      </c>
    </row>
    <row r="610">
      <c r="A610" s="7" t="inlineStr">
        <is>
          <t>T38</t>
        </is>
      </c>
      <c r="B610" s="7" t="inlineStr">
        <is>
          <t>Kegunaan produk yang dimaksudkan berkaitan penyimpanan, penyediaan dan, jika berkenaan, penghidangan diterangkan secara bertulis.</t>
        </is>
      </c>
      <c r="C610" s="7" t="inlineStr">
        <is>
          <t>MS 1480 kl. 4.3.1</t>
        </is>
      </c>
      <c r="D610" s="7" t="inlineStr"/>
      <c r="E610" s="7" t="inlineStr"/>
      <c r="F610" t="inlineStr">
        <is>
          <t>T</t>
        </is>
      </c>
    </row>
    <row r="611">
      <c r="A611" s="7" t="inlineStr">
        <is>
          <t>T39</t>
        </is>
      </c>
      <c r="B611" s="7" t="inlineStr">
        <is>
          <t>Arahan penyediaan dan pelabelan khusus (cth. suhu, jangka hayat/tarikh luput) dinyatakan dengan jelas pada label atau dokumen produk untuk mengurangkan salah kendali atau salah guna.</t>
        </is>
      </c>
      <c r="C611" s="7" t="inlineStr">
        <is>
          <t>MS 1480 kl. 4.3.2</t>
        </is>
      </c>
      <c r="D611" s="7" t="inlineStr"/>
      <c r="E611" s="7" t="inlineStr"/>
      <c r="F611" t="inlineStr">
        <is>
          <t>T</t>
        </is>
      </c>
    </row>
    <row r="612">
      <c r="A612" s="7" t="inlineStr">
        <is>
          <t>T40</t>
        </is>
      </c>
      <c r="B612" s="7" t="inlineStr">
        <is>
          <t>Kumpulan pengguna yang terdedah kepada bahaya keselamatan makanan tertentu (cth. bayi, warga emas, wanita hamil, individu imunokompromi, individu alahan) dikenal pasti dan direkodkan.</t>
        </is>
      </c>
      <c r="C612" s="7" t="inlineStr">
        <is>
          <t>MS 1480 kl. 4.3.3</t>
        </is>
      </c>
      <c r="D612" s="7" t="inlineStr"/>
      <c r="E612" s="7" t="inlineStr"/>
      <c r="F612" t="inlineStr">
        <is>
          <t>T</t>
        </is>
      </c>
    </row>
    <row r="613">
      <c r="A613" s="7" t="inlineStr">
        <is>
          <t>T41</t>
        </is>
      </c>
      <c r="B613" s="7" t="inlineStr">
        <is>
          <t>Carta alir proses yang menyeluruh dan mencerminkan operasi sebenar serta premis disediakan dan boleh diperoleh untuk semakan.</t>
        </is>
      </c>
      <c r="C613" s="7" t="inlineStr">
        <is>
          <t>MS 1480 kl. 4.4.1</t>
        </is>
      </c>
      <c r="D613" s="7" t="inlineStr"/>
      <c r="E613" s="7" t="inlineStr"/>
      <c r="F613" t="inlineStr">
        <is>
          <t>T</t>
        </is>
      </c>
    </row>
    <row r="614">
      <c r="A614" s="7" t="inlineStr">
        <is>
          <t>T42</t>
        </is>
      </c>
      <c r="B614" s="7" t="inlineStr">
        <is>
          <t>Operasi pengeluaran yang kompleks dipecahkan kepada modul yang lebih kecil dan mudah diurus, dengan carta alir yang saling berangkai.</t>
        </is>
      </c>
      <c r="C614" s="7" t="inlineStr">
        <is>
          <t>MS 1480 kl. 4.4.1 (saranan)</t>
        </is>
      </c>
      <c r="D614" s="7" t="inlineStr"/>
      <c r="E614" s="7" t="inlineStr"/>
      <c r="F614" t="inlineStr">
        <is>
          <t>T</t>
        </is>
      </c>
    </row>
    <row r="615">
      <c r="A615" s="7" t="inlineStr">
        <is>
          <t>T43</t>
        </is>
      </c>
      <c r="B615" s="7" t="inlineStr">
        <is>
          <t>Carta alir proses jelas dan cukup terperinci untuk membolehkan bahaya berpotensi dikenal pasti dan dinilai.</t>
        </is>
      </c>
      <c r="C615" s="7" t="inlineStr">
        <is>
          <t>MS 1480 kl. 4.4.2</t>
        </is>
      </c>
      <c r="D615" s="7" t="inlineStr"/>
      <c r="E615" s="7" t="inlineStr"/>
      <c r="F615" t="inlineStr">
        <is>
          <t>T</t>
        </is>
      </c>
    </row>
    <row r="616">
      <c r="A616" s="7" t="inlineStr">
        <is>
          <t>T44</t>
        </is>
      </c>
      <c r="B616" s="7" t="inlineStr">
        <is>
          <t>Carta alir proses telah disahkan di tapak oleh pasukan HACCP atau individu yang berpengetahuan tentang operasi pemprosesan dan bukan individu yang menyediakannya (rekod pengesahan bertarikh dan bertandatangan).</t>
        </is>
      </c>
      <c r="C616" s="7" t="inlineStr">
        <is>
          <t>MS 1480 kl. 4.4.2</t>
        </is>
      </c>
      <c r="D616" s="7" t="inlineStr"/>
      <c r="E616" s="7" t="inlineStr"/>
      <c r="F616" t="inlineStr">
        <is>
          <t>T</t>
        </is>
      </c>
    </row>
    <row r="617">
      <c r="A617" s="7" t="inlineStr">
        <is>
          <t>T45</t>
        </is>
      </c>
      <c r="B617" s="7" t="inlineStr">
        <is>
          <t>Aktiviti pemprosesan disemak berbanding carta alir semasa semua peringkat dan waktu operasi (termasuk semua syif), dan carta alir dipinda apabila didapati tidak tepat.</t>
        </is>
      </c>
      <c r="C617" s="7" t="inlineStr">
        <is>
          <t>MS 1480 kl. 4.4.2 (saranan)</t>
        </is>
      </c>
      <c r="D617" s="7" t="inlineStr"/>
      <c r="E617" s="7" t="inlineStr"/>
      <c r="F617" t="inlineStr">
        <is>
          <t>T</t>
        </is>
      </c>
    </row>
    <row r="618">
      <c r="A618" s="7" t="inlineStr">
        <is>
          <t>T46</t>
        </is>
      </c>
      <c r="B618" s="7" t="inlineStr">
        <is>
          <t>Carta alir proses disediakan bagi semua produk atau kategori produk yang diliputi oleh skop sistem HACCP.</t>
        </is>
      </c>
      <c r="C618" s="7" t="inlineStr">
        <is>
          <t>MS 1480 kl. 4.4.3</t>
        </is>
      </c>
      <c r="D618" s="7" t="inlineStr"/>
      <c r="E618" s="7" t="inlineStr"/>
      <c r="F618" t="inlineStr">
        <is>
          <t>T</t>
        </is>
      </c>
    </row>
    <row r="619">
      <c r="A619" s="7" t="inlineStr">
        <is>
          <t>T47</t>
        </is>
      </c>
      <c r="B619" s="7" t="inlineStr">
        <is>
          <t>Carta alir proses menunjukkan turutan dan interaksi semua langkah dalam proses pengilangan.</t>
        </is>
      </c>
      <c r="C619" s="7" t="inlineStr">
        <is>
          <t>MS 1480 kl. 4.4.4</t>
        </is>
      </c>
      <c r="D619" s="7" t="inlineStr"/>
      <c r="E619" s="7" t="inlineStr"/>
      <c r="F619" t="inlineStr">
        <is>
          <t>T</t>
        </is>
      </c>
    </row>
    <row r="620">
      <c r="A620" s="7" t="inlineStr">
        <is>
          <t>T48</t>
        </is>
      </c>
      <c r="B620" s="7" t="inlineStr">
        <is>
          <t>Carta alir proses menunjukkan titik kemasukan bahan mentah, ramuan, bahan pembungkusan, bahan bantu pemprosesan, utiliti (cth. air, wap, udara termampat dan gas lain) dan produk perantaraan, termasuk proses yang disumber luar jika berkenaan.</t>
        </is>
      </c>
      <c r="C620" s="7" t="inlineStr">
        <is>
          <t>MS 1480 kl. 4.4.4</t>
        </is>
      </c>
      <c r="D620" s="7" t="inlineStr"/>
      <c r="E620" s="7" t="inlineStr"/>
      <c r="F620" t="inlineStr">
        <is>
          <t>T</t>
        </is>
      </c>
    </row>
    <row r="621">
      <c r="A621" s="7" t="inlineStr">
        <is>
          <t>T49</t>
        </is>
      </c>
      <c r="B621" s="7" t="inlineStr">
        <is>
          <t>Carta alir proses menunjukkan langkah di mana kerja semula (rework) dilakukan, jika berkenaan.</t>
        </is>
      </c>
      <c r="C621" s="7" t="inlineStr">
        <is>
          <t>MS 1480 kl. 4.4.4</t>
        </is>
      </c>
      <c r="D621" s="7" t="inlineStr"/>
      <c r="E621" s="7" t="inlineStr"/>
      <c r="F621" t="inlineStr">
        <is>
          <t>T</t>
        </is>
      </c>
    </row>
    <row r="622">
      <c r="A622" s="7" t="inlineStr">
        <is>
          <t>T50</t>
        </is>
      </c>
      <c r="B622" s="7" t="inlineStr">
        <is>
          <t>Carta alir proses menunjukkan titik produk akhir, produk perantaraan, produk sampingan dan sisa dikeluarkan atau disingkirkan, jika perlu.</t>
        </is>
      </c>
      <c r="C622" s="7" t="inlineStr">
        <is>
          <t>MS 1480 kl. 4.4.4</t>
        </is>
      </c>
      <c r="D622" s="7" t="inlineStr"/>
      <c r="E622" s="7" t="inlineStr"/>
      <c r="F622" t="inlineStr">
        <is>
          <t>T</t>
        </is>
      </c>
    </row>
    <row r="623">
      <c r="A623" s="7" t="inlineStr">
        <is>
          <t>T51</t>
        </is>
      </c>
      <c r="B623" s="7" t="inlineStr">
        <is>
          <t>Titik Kawalan Kritikal (CCP) ditandakan pada carta alir proses.</t>
        </is>
      </c>
      <c r="C623" s="7" t="inlineStr">
        <is>
          <t>MS 1480 kl. 4.4.4</t>
        </is>
      </c>
      <c r="D623" s="7" t="inlineStr"/>
      <c r="E623" s="7" t="inlineStr"/>
      <c r="F623" t="inlineStr">
        <is>
          <t>T</t>
        </is>
      </c>
    </row>
    <row r="624">
      <c r="A624" s="7" t="inlineStr">
        <is>
          <t>T52</t>
        </is>
      </c>
      <c r="B624" s="7" t="inlineStr">
        <is>
          <t>Had kritikal bagi setiap CCP dinyatakan pada carta alir proses.</t>
        </is>
      </c>
      <c r="C624" s="7" t="inlineStr">
        <is>
          <t>MS 1480 kl. 4.4.4</t>
        </is>
      </c>
      <c r="D624" s="7" t="inlineStr"/>
      <c r="E624" s="7" t="inlineStr"/>
      <c r="F624" t="inlineStr">
        <is>
          <t>T</t>
        </is>
      </c>
    </row>
    <row r="625">
      <c r="A625" s="7" t="inlineStr">
        <is>
          <t>T53</t>
        </is>
      </c>
      <c r="B625" s="7" t="inlineStr">
        <is>
          <t>Program prasyarat (PRP) telah dilaksanakan mengikut MS 1514 sebelum sistem HACCP diwujudkan (bukti: dokumen dan rekod pelaksanaan PRP bertarikh lebih awal daripada pelan HACCP).</t>
        </is>
      </c>
      <c r="C625" s="7" t="inlineStr">
        <is>
          <t>MS 1480 kl. 5</t>
        </is>
      </c>
      <c r="D625" s="7" t="inlineStr"/>
      <c r="E625" s="7" t="inlineStr"/>
      <c r="F625" t="inlineStr">
        <is>
          <t>T</t>
        </is>
      </c>
    </row>
    <row r="626">
      <c r="A626" s="4" t="inlineStr">
        <is>
          <t>Bahagian U: HACCP MS 1480: Keperluan sistem HACCP</t>
        </is>
      </c>
      <c r="B626" s="5" t="n"/>
      <c r="C626" s="5" t="n"/>
      <c r="D626" s="5" t="n"/>
      <c r="E626" s="6" t="n"/>
    </row>
    <row r="627" ht="26" customHeight="1">
      <c r="A627" s="2" t="inlineStr">
        <is>
          <t>Semak pasukan HACCP, analisis bahaya, CCP, had kritikal, pemantauan, tindakan pembetulan, pengesahsahihan, verifikasi, audit dalaman dan kajian semula pengurusan (klausa 6).</t>
        </is>
      </c>
    </row>
    <row r="628">
      <c r="A628" s="7" t="inlineStr">
        <is>
          <t>U1</t>
        </is>
      </c>
      <c r="B628" s="7" t="inlineStr">
        <is>
          <t>Sistem HACCP telah diwujudkan, didokumenkan dan diselenggara dengan skop (bidang penggunaan) yang jelas. Ia memastikan semua bahaya berpotensi yang diketahui dalam skop dikenal pasti dan semua bahaya signifikan dikawal supaya produk tidak memudaratkan pengguna.</t>
        </is>
      </c>
      <c r="C628" s="7" t="inlineStr">
        <is>
          <t>MS 1480 kl. 6.1</t>
        </is>
      </c>
      <c r="D628" s="7" t="inlineStr"/>
      <c r="E628" s="7" t="inlineStr"/>
      <c r="F628" t="inlineStr">
        <is>
          <t>U</t>
        </is>
      </c>
    </row>
    <row r="629">
      <c r="A629" s="7" t="inlineStr">
        <is>
          <t>U2</t>
        </is>
      </c>
      <c r="B629" s="7" t="inlineStr">
        <is>
          <t>Jika sistem HACCP disepadukan dengan sistem pengurusan sedia ada (cth. ISO 9001, MeSTI, GMP), hubungan antara sistem-sistem tersebut dihuraikan secara bertulis (cth. dalam manual HACCP).</t>
        </is>
      </c>
      <c r="C629" s="7" t="inlineStr">
        <is>
          <t>MS 1480 kl. 6.1</t>
        </is>
      </c>
      <c r="D629" s="7" t="inlineStr"/>
      <c r="E629" s="7" t="inlineStr"/>
      <c r="F629" t="inlineStr">
        <is>
          <t>U</t>
        </is>
      </c>
    </row>
    <row r="630">
      <c r="A630" s="7" t="inlineStr">
        <is>
          <t>U3</t>
        </is>
      </c>
      <c r="B630" s="7" t="inlineStr">
        <is>
          <t>Prosedur yang didokumenkan dan pelan HACCP diwujudkan bagi memastikan konsistensi dan pematuhan kepada keperluan MS 1480 serta kepada dasar dan objektif keselamatan makanan organisasi yang dinyatakan.</t>
        </is>
      </c>
      <c r="C630" s="7" t="inlineStr">
        <is>
          <t>MS 1480 kl. 6.2</t>
        </is>
      </c>
      <c r="D630" s="7" t="inlineStr"/>
      <c r="E630" s="7" t="inlineStr"/>
      <c r="F630" t="inlineStr">
        <is>
          <t>U</t>
        </is>
      </c>
    </row>
    <row r="631">
      <c r="A631" s="7" t="inlineStr">
        <is>
          <t>U4</t>
        </is>
      </c>
      <c r="B631" s="7" t="inlineStr">
        <is>
          <t>Prosedur yang didokumenkan mengambil kira isu dan perkembangan semasa berkaitan keselamatan makanan, termasuk keperluan perundangan terkini. Contoh bukti: semakan prosedur selepas pindaan Peraturan-Peraturan Makanan 1985.</t>
        </is>
      </c>
      <c r="C631" s="7" t="inlineStr">
        <is>
          <t>MS 1480 kl. 6.2</t>
        </is>
      </c>
      <c r="D631" s="7" t="inlineStr"/>
      <c r="E631" s="7" t="inlineStr"/>
      <c r="F631" t="inlineStr">
        <is>
          <t>U</t>
        </is>
      </c>
    </row>
    <row r="632">
      <c r="A632" s="7" t="inlineStr">
        <is>
          <t>U5</t>
        </is>
      </c>
      <c r="B632" s="7" t="inlineStr">
        <is>
          <t>Pelan HACCP dibangunkan berdasarkan tujuh (7) prinsip HACCP: analisis bahaya, penentuan CCP, had kritikal, pemantauan, tindakan pembetulan, verifikasi, serta dokumentasi dan penyimpanan rekod.</t>
        </is>
      </c>
      <c r="C632" s="7" t="inlineStr">
        <is>
          <t>MS 1480 kl. 6.3.1</t>
        </is>
      </c>
      <c r="D632" s="7" t="inlineStr"/>
      <c r="E632" s="7" t="inlineStr"/>
      <c r="F632" t="inlineStr">
        <is>
          <t>U</t>
        </is>
      </c>
    </row>
    <row r="633">
      <c r="A633" s="7" t="inlineStr">
        <is>
          <t>U6</t>
        </is>
      </c>
      <c r="B633" s="7" t="inlineStr">
        <is>
          <t>Pelan HACCP adalah khusus bagi produk, kategori produk atau proses tertentu, dan bagi tapak pengeluaran berkenaan. Ia bukan pelan generik yang disalin daripada premis lain.</t>
        </is>
      </c>
      <c r="C633" s="7" t="inlineStr">
        <is>
          <t>MS 1480 kl. 6.3.1</t>
        </is>
      </c>
      <c r="D633" s="7" t="inlineStr"/>
      <c r="E633" s="7" t="inlineStr"/>
      <c r="F633" t="inlineStr">
        <is>
          <t>U</t>
        </is>
      </c>
    </row>
    <row r="634">
      <c r="A634" s="7" t="inlineStr">
        <is>
          <t>U7</t>
        </is>
      </c>
      <c r="B634" s="7" t="inlineStr">
        <is>
          <t>Rekod validasi pelan HACCP tersedia dan meliputi sekurang-kurangnya: pengenalpastian bahaya, langkah kawalan, CCP, had kritikal, kekerapan dan jenis pemantauan CCP, tindakan pembetulan, kekerapan dan jenis verifikasi, serta jenis maklumat yang perlu direkodkan.</t>
        </is>
      </c>
      <c r="C634" s="7" t="inlineStr">
        <is>
          <t>MS 1480 kl. 6.3.2</t>
        </is>
      </c>
      <c r="D634" s="7" t="inlineStr"/>
      <c r="E634" s="7" t="inlineStr"/>
      <c r="F634" t="inlineStr">
        <is>
          <t>U</t>
        </is>
      </c>
    </row>
    <row r="635">
      <c r="A635" s="7" t="inlineStr">
        <is>
          <t>U8</t>
        </is>
      </c>
      <c r="B635" s="7" t="inlineStr">
        <is>
          <t>Validasi semula pelan HACCP dijalankan dan direkodkan apabila berlaku perubahan operasi yang boleh menjejaskan keselamatan makanan (cth. perubahan proses, bahan mentah, ramuan, pembungkusan atau peralatan).</t>
        </is>
      </c>
      <c r="C635" s="7" t="inlineStr">
        <is>
          <t>MS 1480 kl. 6.3.2</t>
        </is>
      </c>
      <c r="D635" s="7" t="inlineStr"/>
      <c r="E635" s="7" t="inlineStr"/>
      <c r="F635" t="inlineStr">
        <is>
          <t>U</t>
        </is>
      </c>
    </row>
    <row r="636">
      <c r="A636" s="7" t="inlineStr">
        <is>
          <t>U9</t>
        </is>
      </c>
      <c r="B636" s="7" t="inlineStr">
        <is>
          <t>Pengenalpastian dan penilaian bahaya berpotensi dibuat berdasarkan perihalan produk (4.2), kegunaan dan pengguna yang dimaksudkan (4.3) serta carta alir proses (4.4).</t>
        </is>
      </c>
      <c r="C636" s="7" t="inlineStr">
        <is>
          <t>MS 1480 kl. 6.3.3.1</t>
        </is>
      </c>
      <c r="D636" s="7" t="inlineStr"/>
      <c r="E636" s="7" t="inlineStr"/>
      <c r="F636" t="inlineStr">
        <is>
          <t>U</t>
        </is>
      </c>
    </row>
    <row r="637">
      <c r="A637" s="7" t="inlineStr">
        <is>
          <t>U10</t>
        </is>
      </c>
      <c r="B637" s="7" t="inlineStr">
        <is>
          <t>Lembaran kerja analisis bahaya (format Lampiran A/B atau setara) menyenaraikan semua bahaya berpotensi bagi setiap langkah proses, termasuk semua input ke langkah tersebut. Ia juga mengenal pasti bahaya signifikan dan menyatakan langkah kawalan yang dipertimbangkan.</t>
        </is>
      </c>
      <c r="C637" s="7" t="inlineStr">
        <is>
          <t>MS 1480 kl. 6.3.3.1</t>
        </is>
      </c>
      <c r="D637" s="7" t="inlineStr"/>
      <c r="E637" s="7" t="inlineStr"/>
      <c r="F637" t="inlineStr">
        <is>
          <t>U</t>
        </is>
      </c>
    </row>
    <row r="638">
      <c r="A638" s="7" t="inlineStr">
        <is>
          <t>U11</t>
        </is>
      </c>
      <c r="B638" s="7" t="inlineStr">
        <is>
          <t>Bahaya dinyatakan secara spesifik (cth. serpihan logam, bukan sekadar 'bahaya fizikal') beserta sumber atau sebab kehadirannya (cth. logam daripada bilah pemotong yang patah semasa pencincangan).</t>
        </is>
      </c>
      <c r="C638" s="7" t="inlineStr">
        <is>
          <t>MS 1480 kl. 6.3.3.1 (saranan)</t>
        </is>
      </c>
      <c r="D638" s="7" t="inlineStr"/>
      <c r="E638" s="7" t="inlineStr"/>
      <c r="F638" t="inlineStr">
        <is>
          <t>U</t>
        </is>
      </c>
    </row>
    <row r="639">
      <c r="A639" s="7" t="inlineStr">
        <is>
          <t>U12</t>
        </is>
      </c>
      <c r="B639" s="7" t="inlineStr">
        <is>
          <t>Penentuan bahaya signifikan mengambil kira perkara berikut dan didokumenkan: kebarangkalian bahaya berlaku (dengan PRP, tanpa kawalan tambahan); kebarangkalian dan keterukan kesan buruk kesihatan jika tiada kawalan; dan paras bahaya yang boleh diterima (cth. berdasarkan peraturan, kegunaan atau maklumat saintifik).</t>
        </is>
      </c>
      <c r="C639" s="7" t="inlineStr">
        <is>
          <t>MS 1480 kl. 6.3.3.2 (saranan)</t>
        </is>
      </c>
      <c r="D639" s="7" t="inlineStr"/>
      <c r="E639" s="7" t="inlineStr"/>
      <c r="F639" t="inlineStr">
        <is>
          <t>U</t>
        </is>
      </c>
    </row>
    <row r="640">
      <c r="A640" s="7" t="inlineStr">
        <is>
          <t>U13</t>
        </is>
      </c>
      <c r="B640" s="7" t="inlineStr">
        <is>
          <t>Analisis bahaya mengambil kira maklumat sokongan seperti: data tinjauan atau persampelan, rekod penarikan balik, literatur saintifik atau data epidemiologi; sifat premis dan peralatan; kemandirian atau pembiakan mikroorganisma patogen; penghasilan atau kekekalan toksin, bahan kimia (cth. racun perosak, residu ubat, alergen) dan agen fizikal (kaca, logam); kemungkinan salah pengendalian oleh pengguna; serta keadaan yang membawa kepada bahaya tersebut.</t>
        </is>
      </c>
      <c r="C640" s="7" t="inlineStr">
        <is>
          <t>MS 1480 kl. 6.3.3.2 (saranan)</t>
        </is>
      </c>
      <c r="D640" s="7" t="inlineStr"/>
      <c r="E640" s="7" t="inlineStr"/>
      <c r="F640" t="inlineStr">
        <is>
          <t>U</t>
        </is>
      </c>
    </row>
    <row r="641">
      <c r="A641" s="7" t="inlineStr">
        <is>
          <t>U14</t>
        </is>
      </c>
      <c r="B641" s="7" t="inlineStr">
        <is>
          <t>Langkah kawalan bagi setiap bahaya signifikan berupaya mencegah bahaya atau mengurangkannya ke paras yang boleh diterima, dan justifikasinya tersedia.</t>
        </is>
      </c>
      <c r="C641" s="7" t="inlineStr">
        <is>
          <t>MS 1480 kl. 6.3.3.3</t>
        </is>
      </c>
      <c r="D641" s="7" t="inlineStr"/>
      <c r="E641" s="7" t="inlineStr"/>
      <c r="F641" t="inlineStr">
        <is>
          <t>U</t>
        </is>
      </c>
    </row>
    <row r="642">
      <c r="A642" s="7" t="inlineStr">
        <is>
          <t>U15</t>
        </is>
      </c>
      <c r="B642" s="7" t="inlineStr">
        <is>
          <t>Bagi setiap bahaya signifikan, dokumen analisis bahaya menyatakan sama ada langkah kawalannya diurus di bawah PRP atau di bawah pelan HACCP.</t>
        </is>
      </c>
      <c r="C642" s="7" t="inlineStr">
        <is>
          <t>MS 1480 kl. 6.3.3.3</t>
        </is>
      </c>
      <c r="D642" s="7" t="inlineStr"/>
      <c r="E642" s="7" t="inlineStr"/>
      <c r="F642" t="inlineStr">
        <is>
          <t>U</t>
        </is>
      </c>
    </row>
    <row r="643">
      <c r="A643" s="7" t="inlineStr">
        <is>
          <t>U16</t>
        </is>
      </c>
      <c r="B643" s="7" t="inlineStr">
        <is>
          <t>Jika tiada langkah kawalan pada mana-mana langkah bagi bahaya signifikan yang dikenal pasti, produk atau proses diubah suai, dan rekod pengubahsuaian tersebut tersedia.</t>
        </is>
      </c>
      <c r="C643" s="7" t="inlineStr">
        <is>
          <t>MS 1480 kl. 6.3.3.4 (saranan)</t>
        </is>
      </c>
      <c r="D643" s="7" t="inlineStr"/>
      <c r="E643" s="7" t="inlineStr"/>
      <c r="F643" t="inlineStr">
        <is>
          <t>U</t>
        </is>
      </c>
    </row>
    <row r="644">
      <c r="A644" s="7" t="inlineStr">
        <is>
          <t>U17</t>
        </is>
      </c>
      <c r="B644" s="7" t="inlineStr">
        <is>
          <t>Pokok keputusan (Rajah C.1) atau pendekatan logik yang setara digunakan sebagai panduan dalam penentuan CCP.</t>
        </is>
      </c>
      <c r="C644" s="7" t="inlineStr">
        <is>
          <t>MS 1480 kl. 6.3.4.1 (saranan)</t>
        </is>
      </c>
      <c r="D644" s="7" t="inlineStr"/>
      <c r="E644" s="7" t="inlineStr"/>
      <c r="F644" t="inlineStr">
        <is>
          <t>U</t>
        </is>
      </c>
    </row>
    <row r="645">
      <c r="A645" s="7" t="inlineStr">
        <is>
          <t>U18</t>
        </is>
      </c>
      <c r="B645" s="7" t="inlineStr">
        <is>
          <t>Dokumentasi yang menunjukkan cara setiap CCP ditentukan tersedia (cth. jawapan soalan pokok keputusan bagi setiap langkah dan bahaya).</t>
        </is>
      </c>
      <c r="C645" s="7" t="inlineStr">
        <is>
          <t>MS 1480 kl. 6.3.4.1</t>
        </is>
      </c>
      <c r="D645" s="7" t="inlineStr"/>
      <c r="E645" s="7" t="inlineStr"/>
      <c r="F645" t="inlineStr">
        <is>
          <t>U</t>
        </is>
      </c>
    </row>
    <row r="646">
      <c r="A646" s="7" t="inlineStr">
        <is>
          <t>U19</t>
        </is>
      </c>
      <c r="B646" s="7" t="inlineStr">
        <is>
          <t>Setiap bahaya signifikan dikawal oleh langkah kawalan yang ditetapkan pada sekurang-kurangnya satu CCP, dan pemetaan bahaya kepada CCP dapat dikesan dalam pelan HACCP.</t>
        </is>
      </c>
      <c r="C646" s="7" t="inlineStr">
        <is>
          <t>MS 1480 kl. 6.3.4.2</t>
        </is>
      </c>
      <c r="D646" s="7" t="inlineStr"/>
      <c r="E646" s="7" t="inlineStr"/>
      <c r="F646" t="inlineStr">
        <is>
          <t>U</t>
        </is>
      </c>
    </row>
    <row r="647">
      <c r="A647" s="7" t="inlineStr">
        <is>
          <t>U20</t>
        </is>
      </c>
      <c r="B647" s="7" t="inlineStr">
        <is>
          <t>Had kritikal ditetapkan bagi setiap CCP, termasuk lebih daripada satu had kritikal bagi sesuatu langkah jika perlu.</t>
        </is>
      </c>
      <c r="C647" s="7" t="inlineStr">
        <is>
          <t>MS 1480 kl. 6.3.5.1</t>
        </is>
      </c>
      <c r="D647" s="7" t="inlineStr"/>
      <c r="E647" s="7" t="inlineStr"/>
      <c r="F647" t="inlineStr">
        <is>
          <t>U</t>
        </is>
      </c>
    </row>
    <row r="648">
      <c r="A648" s="7" t="inlineStr">
        <is>
          <t>U21</t>
        </is>
      </c>
      <c r="B648" s="7" t="inlineStr">
        <is>
          <t>Had kritikal boleh diukur atau diperhatikan (cth. suhu, masa, kelembapan, pH, aktiviti air (aw), klorin tersedia, masa sentuhan, kelajuan konveyor, kadar aliran atau tetapan pam).</t>
        </is>
      </c>
      <c r="C648" s="7" t="inlineStr">
        <is>
          <t>MS 1480 kl. 6.3.5.2</t>
        </is>
      </c>
      <c r="D648" s="7" t="inlineStr"/>
      <c r="E648" s="7" t="inlineStr"/>
      <c r="F648" t="inlineStr">
        <is>
          <t>U</t>
        </is>
      </c>
    </row>
    <row r="649">
      <c r="A649" s="7" t="inlineStr">
        <is>
          <t>U22</t>
        </is>
      </c>
      <c r="B649" s="7" t="inlineStr">
        <is>
          <t>Had kritikal yang berasaskan data subjektif (cth. pemeriksaan visual produk, proses atau pengendalian) disokong oleh arahan kerja, spesifikasi, validasi dan/atau latihan kepada personel pemeriksa.</t>
        </is>
      </c>
      <c r="C649" s="7" t="inlineStr">
        <is>
          <t>MS 1480 kl. 6.3.5.2</t>
        </is>
      </c>
      <c r="D649" s="7" t="inlineStr"/>
      <c r="E649" s="7" t="inlineStr"/>
      <c r="F649" t="inlineStr">
        <is>
          <t>U</t>
        </is>
      </c>
    </row>
    <row r="650">
      <c r="A650" s="7" t="inlineStr">
        <is>
          <t>U23</t>
        </is>
      </c>
      <c r="B650" s="7" t="inlineStr">
        <is>
          <t>Had kritikal bagi setiap CCP divalidasi secara saintifik. Bukti validasi (kajian dalaman, literatur, keperluan perundangan, panduan pihak berkuasa, piawaian, kod amalan atau kajian pihak ketiga) menunjukkan had tersebut berupaya mencegah, menghapuskan atau mengurangkan bahaya ke paras boleh diterima.</t>
        </is>
      </c>
      <c r="C650" s="7" t="inlineStr">
        <is>
          <t>MS 1480 kl. 6.3.5.3 (saranan)</t>
        </is>
      </c>
      <c r="D650" s="7" t="inlineStr"/>
      <c r="E650" s="7" t="inlineStr"/>
      <c r="F650" t="inlineStr">
        <is>
          <t>U</t>
        </is>
      </c>
    </row>
    <row r="651">
      <c r="A651" s="7" t="inlineStr">
        <is>
          <t>U24</t>
        </is>
      </c>
      <c r="B651" s="7" t="inlineStr">
        <is>
          <t>Sistem pemantauan diwujudkan bagi setiap CCP berbanding had kritikalnya.</t>
        </is>
      </c>
      <c r="C651" s="7" t="inlineStr">
        <is>
          <t>MS 1480 kl. 6.3.6.1</t>
        </is>
      </c>
      <c r="D651" s="7" t="inlineStr"/>
      <c r="E651" s="7" t="inlineStr"/>
      <c r="F651" t="inlineStr">
        <is>
          <t>U</t>
        </is>
      </c>
    </row>
    <row r="652">
      <c r="A652" s="7" t="inlineStr">
        <is>
          <t>U25</t>
        </is>
      </c>
      <c r="B652" s="7" t="inlineStr">
        <is>
          <t>Sistem pemantauan terdiri daripada pengukuran atau pemerhatian berjadual yang dapat menunjukkan had kritikal dipenuhi, dan jadual pemantauan dipatuhi.</t>
        </is>
      </c>
      <c r="C652" s="7" t="inlineStr">
        <is>
          <t>MS 1480 kl. 6.3.6.1</t>
        </is>
      </c>
      <c r="D652" s="7" t="inlineStr"/>
      <c r="E652" s="7" t="inlineStr"/>
      <c r="F652" t="inlineStr">
        <is>
          <t>U</t>
        </is>
      </c>
    </row>
    <row r="653">
      <c r="A653" s="7" t="inlineStr">
        <is>
          <t>U26</t>
        </is>
      </c>
      <c r="B653" s="7" t="inlineStr">
        <is>
          <t>Apabila keputusan pemantauan menunjukkan trend menghampiri sisihan pada CCP, pelarasan proses dibuat sebelum sisihan berlaku, dan rekod pelarasan tersedia.</t>
        </is>
      </c>
      <c r="C653" s="7" t="inlineStr">
        <is>
          <t>MS 1480 kl. 6.3.6.1 (saranan)</t>
        </is>
      </c>
      <c r="D653" s="7" t="inlineStr"/>
      <c r="E653" s="7" t="inlineStr"/>
      <c r="F653" t="inlineStr">
        <is>
          <t>U</t>
        </is>
      </c>
    </row>
    <row r="654">
      <c r="A654" s="7" t="inlineStr">
        <is>
          <t>U27</t>
        </is>
      </c>
      <c r="B654" s="7" t="inlineStr">
        <is>
          <t>Prosedur pemantauan bagi setiap CCP menyatakan perkara yang dipantau, kaedah pemantauan (termasuk peralatan pengukuran yang digunakan), kekerapan pemantauan, dan personel yang bertanggungjawab memantau serta menilai keputusan pemantauan.</t>
        </is>
      </c>
      <c r="C654" s="7" t="inlineStr">
        <is>
          <t>MS 1480 kl. 6.3.6.2</t>
        </is>
      </c>
      <c r="D654" s="7" t="inlineStr"/>
      <c r="E654" s="7" t="inlineStr"/>
      <c r="F654" t="inlineStr">
        <is>
          <t>U</t>
        </is>
      </c>
    </row>
    <row r="655">
      <c r="A655" s="7" t="inlineStr">
        <is>
          <t>U28</t>
        </is>
      </c>
      <c r="B655" s="7" t="inlineStr">
        <is>
          <t>Lokasi pemantauan direkodkan, jika berkaitan.</t>
        </is>
      </c>
      <c r="C655" s="7" t="inlineStr">
        <is>
          <t>MS 1480 kl. 6.3.6.3</t>
        </is>
      </c>
      <c r="D655" s="7" t="inlineStr"/>
      <c r="E655" s="7" t="inlineStr"/>
      <c r="F655" t="inlineStr">
        <is>
          <t>U</t>
        </is>
      </c>
    </row>
    <row r="656">
      <c r="A656" s="7" t="inlineStr">
        <is>
          <t>U29</t>
        </is>
      </c>
      <c r="B656" s="7" t="inlineStr">
        <is>
          <t>Kaedah dan kekerapan pemantauan dapat mengesan sebarang kegagalan mematuhi had kritikal tepat pada masanya, supaya produk terlibat dapat diasingkan dan dinilai segera.</t>
        </is>
      </c>
      <c r="C656" s="7" t="inlineStr">
        <is>
          <t>MS 1480 kl. 6.3.6.3</t>
        </is>
      </c>
      <c r="D656" s="7" t="inlineStr"/>
      <c r="E656" s="7" t="inlineStr"/>
      <c r="F656" t="inlineStr">
        <is>
          <t>U</t>
        </is>
      </c>
    </row>
    <row r="657">
      <c r="A657" s="7" t="inlineStr">
        <is>
          <t>U30</t>
        </is>
      </c>
      <c r="B657" s="7" t="inlineStr">
        <is>
          <t>Kaedah dan kekerapan pemantauan mengambil kira sifat sisihan (cth. penurunan suhu mendadak semasa pempasteuran, penapis koyak, atau kenaikan suhu beransur-ansur dalam stor sejuk).</t>
        </is>
      </c>
      <c r="C657" s="7" t="inlineStr">
        <is>
          <t>MS 1480 kl. 6.3.6.3 (saranan)</t>
        </is>
      </c>
      <c r="D657" s="7" t="inlineStr"/>
      <c r="E657" s="7" t="inlineStr"/>
      <c r="F657" t="inlineStr">
        <is>
          <t>U</t>
        </is>
      </c>
    </row>
    <row r="658">
      <c r="A658" s="7" t="inlineStr">
        <is>
          <t>U31</t>
        </is>
      </c>
      <c r="B658" s="7" t="inlineStr">
        <is>
          <t>Keputusan pemantauan CCP direkodkan.</t>
        </is>
      </c>
      <c r="C658" s="7" t="inlineStr">
        <is>
          <t>MS 1480 kl. 6.3.6.4</t>
        </is>
      </c>
      <c r="D658" s="7" t="inlineStr"/>
      <c r="E658" s="7" t="inlineStr"/>
      <c r="F658" t="inlineStr">
        <is>
          <t>U</t>
        </is>
      </c>
    </row>
    <row r="659">
      <c r="A659" s="7" t="inlineStr">
        <is>
          <t>U32</t>
        </is>
      </c>
      <c r="B659" s="7" t="inlineStr">
        <is>
          <t>Tindakan pembetulan khusus yang didokumenkan ditetapkan bagi setiap CCP, untuk dilaksanakan apabila keputusan pemantauan menunjukkan sisihan daripada had kritikal.</t>
        </is>
      </c>
      <c r="C659" s="7" t="inlineStr">
        <is>
          <t>MS 1480 kl. 6.3.7.1</t>
        </is>
      </c>
      <c r="D659" s="7" t="inlineStr"/>
      <c r="E659" s="7" t="inlineStr"/>
      <c r="F659" t="inlineStr">
        <is>
          <t>U</t>
        </is>
      </c>
    </row>
    <row r="660">
      <c r="A660" s="7" t="inlineStr">
        <is>
          <t>U33</t>
        </is>
      </c>
      <c r="B660" s="7" t="inlineStr">
        <is>
          <t>Tindakan pembetulan yang diambil mengembalikan CCP ke dalam kawalan, dengan bukti seperti pembetulan punca dan pemantauan semula yang mematuhi had kritikal.</t>
        </is>
      </c>
      <c r="C660" s="7" t="inlineStr">
        <is>
          <t>MS 1480 kl. 6.3.7.2</t>
        </is>
      </c>
      <c r="D660" s="7" t="inlineStr"/>
      <c r="E660" s="7" t="inlineStr"/>
      <c r="F660" t="inlineStr">
        <is>
          <t>U</t>
        </is>
      </c>
    </row>
    <row r="661">
      <c r="A661" s="7" t="inlineStr">
        <is>
          <t>U34</t>
        </is>
      </c>
      <c r="B661" s="7" t="inlineStr">
        <is>
          <t>Produk yang dihasilkan semasa CCP di luar kawalan dikendalikan mengikut prosedur kawalan produk tidak patuh (7.2), cth. dilabel dan sama ada diproses semula, diasingkan atau dilupuskan tanpa mencemarkan makanan lain, dengan rekod pelupusan atau tindakan yang diambil.</t>
        </is>
      </c>
      <c r="C661" s="7" t="inlineStr">
        <is>
          <t>MS 1480 kl. 6.3.7.2</t>
        </is>
      </c>
      <c r="D661" s="7" t="inlineStr"/>
      <c r="E661" s="7" t="inlineStr"/>
      <c r="F661" t="inlineStr">
        <is>
          <t>U</t>
        </is>
      </c>
    </row>
    <row r="662">
      <c r="A662" s="7" t="inlineStr">
        <is>
          <t>U35</t>
        </is>
      </c>
      <c r="B662" s="7" t="inlineStr">
        <is>
          <t>Tindakan pembetulan yang diambil direkodkan.</t>
        </is>
      </c>
      <c r="C662" s="7" t="inlineStr">
        <is>
          <t>MS 1480 kl. 6.3.7.3</t>
        </is>
      </c>
      <c r="D662" s="7" t="inlineStr"/>
      <c r="E662" s="7" t="inlineStr"/>
      <c r="F662" t="inlineStr">
        <is>
          <t>U</t>
        </is>
      </c>
    </row>
    <row r="663">
      <c r="A663" s="7" t="inlineStr">
        <is>
          <t>U36</t>
        </is>
      </c>
      <c r="B663" s="7" t="inlineStr">
        <is>
          <t>Prosedur verifikasi yang didokumenkan diwujudkan dan diselenggara.</t>
        </is>
      </c>
      <c r="C663" s="7" t="inlineStr">
        <is>
          <t>MS 1480 kl. 6.3.8.1</t>
        </is>
      </c>
      <c r="D663" s="7" t="inlineStr"/>
      <c r="E663" s="7" t="inlineStr"/>
      <c r="F663" t="inlineStr">
        <is>
          <t>U</t>
        </is>
      </c>
    </row>
    <row r="664">
      <c r="A664" s="7" t="inlineStr">
        <is>
          <t>U37</t>
        </is>
      </c>
      <c r="B664" s="7" t="inlineStr">
        <is>
          <t>Prosedur verifikasi merangkumi verifikasi keputusan pemantauan di setiap CCP (cth. semakan dan tandatangan rekod pemantauan oleh pengesah).</t>
        </is>
      </c>
      <c r="C664" s="7" t="inlineStr">
        <is>
          <t>MS 1480 kl. 6.3.8.1</t>
        </is>
      </c>
      <c r="D664" s="7" t="inlineStr"/>
      <c r="E664" s="7" t="inlineStr"/>
      <c r="F664" t="inlineStr">
        <is>
          <t>U</t>
        </is>
      </c>
    </row>
    <row r="665">
      <c r="A665" s="7" t="inlineStr">
        <is>
          <t>U38</t>
        </is>
      </c>
      <c r="B665" s="7" t="inlineStr">
        <is>
          <t>Verifikasi berkala dirancang (cth. jadual verifikasi) dan dilaksanakan untuk menentukan sama ada sistem HACCP dilaksanakan mengikut pelan HACCP. Ia termasuk semakan kecukupan sistem secara berkala dan apabila berlaku perubahan.</t>
        </is>
      </c>
      <c r="C665" s="7" t="inlineStr">
        <is>
          <t>MS 1480 kl. 6.3.8.1</t>
        </is>
      </c>
      <c r="D665" s="7" t="inlineStr"/>
      <c r="E665" s="7" t="inlineStr"/>
      <c r="F665" t="inlineStr">
        <is>
          <t>U</t>
        </is>
      </c>
    </row>
    <row r="666">
      <c r="A666" s="7" t="inlineStr">
        <is>
          <t>U39</t>
        </is>
      </c>
      <c r="B666" s="7" t="inlineStr">
        <is>
          <t>Aktiviti verifikasi merangkumi semakan menyeluruh sistem HACCP dan rekod-rekodnya.</t>
        </is>
      </c>
      <c r="C666" s="7" t="inlineStr">
        <is>
          <t>MS 1480 kl. 6.3.8.2</t>
        </is>
      </c>
      <c r="D666" s="7" t="inlineStr"/>
      <c r="E666" s="7" t="inlineStr"/>
      <c r="F666" t="inlineStr">
        <is>
          <t>U</t>
        </is>
      </c>
    </row>
    <row r="667">
      <c r="A667" s="7" t="inlineStr">
        <is>
          <t>U40</t>
        </is>
      </c>
      <c r="B667" s="7" t="inlineStr">
        <is>
          <t>Aktiviti verifikasi merangkumi analisis kes penarikan balik produk (termasuk hampir penarikan balik) dan pelupusan produk.</t>
        </is>
      </c>
      <c r="C667" s="7" t="inlineStr">
        <is>
          <t>MS 1480 kl. 6.3.8.2</t>
        </is>
      </c>
      <c r="D667" s="7" t="inlineStr"/>
      <c r="E667" s="7" t="inlineStr"/>
      <c r="F667" t="inlineStr">
        <is>
          <t>U</t>
        </is>
      </c>
    </row>
    <row r="668">
      <c r="A668" s="7" t="inlineStr">
        <is>
          <t>U41</t>
        </is>
      </c>
      <c r="B668" s="7" t="inlineStr">
        <is>
          <t>Aktiviti verifikasi merangkumi pengesahan bahawa carta alir proses yang didokumenkan sepadan dengan aliran proses sebenar di kawasan pengeluaran.</t>
        </is>
      </c>
      <c r="C668" s="7" t="inlineStr">
        <is>
          <t>MS 1480 kl. 6.3.8.2</t>
        </is>
      </c>
      <c r="D668" s="7" t="inlineStr"/>
      <c r="E668" s="7" t="inlineStr"/>
      <c r="F668" t="inlineStr">
        <is>
          <t>U</t>
        </is>
      </c>
    </row>
    <row r="669">
      <c r="A669" s="7" t="inlineStr">
        <is>
          <t>U42</t>
        </is>
      </c>
      <c r="B669" s="7" t="inlineStr">
        <is>
          <t>Aktiviti verifikasi merangkumi analisis aduan pelanggan dan pengguna berkaitan keselamatan makanan.</t>
        </is>
      </c>
      <c r="C669" s="7" t="inlineStr">
        <is>
          <t>MS 1480 kl. 6.3.8.2</t>
        </is>
      </c>
      <c r="D669" s="7" t="inlineStr"/>
      <c r="E669" s="7" t="inlineStr"/>
      <c r="F669" t="inlineStr">
        <is>
          <t>U</t>
        </is>
      </c>
    </row>
    <row r="670">
      <c r="A670" s="7" t="inlineStr">
        <is>
          <t>U43</t>
        </is>
      </c>
      <c r="B670" s="7" t="inlineStr">
        <is>
          <t>Aktiviti verifikasi merangkumi semakan dan penilaian keputusan analisis persampelan rawak dan ujian produk.</t>
        </is>
      </c>
      <c r="C670" s="7" t="inlineStr">
        <is>
          <t>MS 1480 kl. 6.3.8.2</t>
        </is>
      </c>
      <c r="D670" s="7" t="inlineStr"/>
      <c r="E670" s="7" t="inlineStr"/>
      <c r="F670" t="inlineStr">
        <is>
          <t>U</t>
        </is>
      </c>
    </row>
    <row r="671">
      <c r="A671" s="7" t="inlineStr">
        <is>
          <t>U44</t>
        </is>
      </c>
      <c r="B671" s="7" t="inlineStr">
        <is>
          <t>Aktiviti verifikasi merangkumi semakan dapatan audit dalaman dan audit luaran (cth. oleh pelanggan atau badan kawal selia).</t>
        </is>
      </c>
      <c r="C671" s="7" t="inlineStr">
        <is>
          <t>MS 1480 kl. 6.3.8.2</t>
        </is>
      </c>
      <c r="D671" s="7" t="inlineStr"/>
      <c r="E671" s="7" t="inlineStr"/>
      <c r="F671" t="inlineStr">
        <is>
          <t>U</t>
        </is>
      </c>
    </row>
    <row r="672">
      <c r="A672" s="7" t="inlineStr">
        <is>
          <t>U45</t>
        </is>
      </c>
      <c r="B672" s="7" t="inlineStr">
        <is>
          <t>Aktiviti verifikasi merangkumi penilaian pematuhan kepada perundangan dan peraturan yang terpakai.</t>
        </is>
      </c>
      <c r="C672" s="7" t="inlineStr">
        <is>
          <t>MS 1480 kl. 6.3.8.2</t>
        </is>
      </c>
      <c r="D672" s="7" t="inlineStr"/>
      <c r="E672" s="7" t="inlineStr"/>
      <c r="F672" t="inlineStr">
        <is>
          <t>U</t>
        </is>
      </c>
    </row>
    <row r="673">
      <c r="A673" s="7" t="inlineStr">
        <is>
          <t>U46</t>
        </is>
      </c>
      <c r="B673" s="7" t="inlineStr">
        <is>
          <t>Aktiviti verifikasi merangkumi semakan jurang antara tahap pengetahuan, kesedaran dan latihan keselamatan makanan staf pada masa ini dengan tahap yang dikehendaki.</t>
        </is>
      </c>
      <c r="C673" s="7" t="inlineStr">
        <is>
          <t>MS 1480 kl. 6.3.8.2</t>
        </is>
      </c>
      <c r="D673" s="7" t="inlineStr"/>
      <c r="E673" s="7" t="inlineStr"/>
      <c r="F673" t="inlineStr">
        <is>
          <t>U</t>
        </is>
      </c>
    </row>
    <row r="674">
      <c r="A674" s="7" t="inlineStr">
        <is>
          <t>U47</t>
        </is>
      </c>
      <c r="B674" s="7" t="inlineStr">
        <is>
          <t>Aktiviti verifikasi merangkumi semakan keputusan penentukuran (kalibrasi) atau verifikasi peralatan pemantauan.</t>
        </is>
      </c>
      <c r="C674" s="7" t="inlineStr">
        <is>
          <t>MS 1480 kl. 6.3.8.2</t>
        </is>
      </c>
      <c r="D674" s="7" t="inlineStr"/>
      <c r="E674" s="7" t="inlineStr"/>
      <c r="F674" t="inlineStr">
        <is>
          <t>U</t>
        </is>
      </c>
    </row>
    <row r="675">
      <c r="A675" s="7" t="inlineStr">
        <is>
          <t>U48</t>
        </is>
      </c>
      <c r="B675" s="7" t="inlineStr">
        <is>
          <t>Verifikasi dilaksanakan melalui semakan aktiviti pemantauan, audit dalaman dan kajian semula pengurusan, dan rekod bagi ketiga-tiganya tersedia.</t>
        </is>
      </c>
      <c r="C675" s="7" t="inlineStr">
        <is>
          <t>MS 1480 kl. 6.3.8.3</t>
        </is>
      </c>
      <c r="D675" s="7" t="inlineStr"/>
      <c r="E675" s="7" t="inlineStr"/>
      <c r="F675" t="inlineStr">
        <is>
          <t>U</t>
        </is>
      </c>
    </row>
    <row r="676">
      <c r="A676" s="7" t="inlineStr">
        <is>
          <t>U49</t>
        </is>
      </c>
      <c r="B676" s="7" t="inlineStr">
        <is>
          <t>Verifikasi dijalankan oleh individu yang berbeza daripada orang yang bertanggungjawab melaksanakan pemantauan dan tindakan pembetulan.</t>
        </is>
      </c>
      <c r="C676" s="7" t="inlineStr">
        <is>
          <t>MS 1480 kl. 6.3.8.4</t>
        </is>
      </c>
      <c r="D676" s="7" t="inlineStr"/>
      <c r="E676" s="7" t="inlineStr"/>
      <c r="F676" t="inlineStr">
        <is>
          <t>U</t>
        </is>
      </c>
    </row>
    <row r="677">
      <c r="A677" s="7" t="inlineStr">
        <is>
          <t>U50</t>
        </is>
      </c>
      <c r="B677" s="7" t="inlineStr">
        <is>
          <t>Aktiviti verifikasi yang tidak dapat dilakukan secara dalaman dilaksanakan bagi pihak organisasi oleh pakar luar atau pihak ketiga yang berkelayakan (cth. makmal terakreditasi).</t>
        </is>
      </c>
      <c r="C677" s="7" t="inlineStr">
        <is>
          <t>MS 1480 kl. 6.3.8.4 (saranan)</t>
        </is>
      </c>
      <c r="D677" s="7" t="inlineStr"/>
      <c r="E677" s="7" t="inlineStr"/>
      <c r="F677" t="inlineStr">
        <is>
          <t>U</t>
        </is>
      </c>
    </row>
    <row r="678">
      <c r="A678" s="7" t="inlineStr">
        <is>
          <t>U51</t>
        </is>
      </c>
      <c r="B678" s="7" t="inlineStr">
        <is>
          <t>Dokumentasi dan penyimpanan rekod sesuai dengan sifat dan saiz operasi, format (cth. bahasa, versi perisian) dan media (kertas atau elektronik). Ia juga mencukupi untuk mengesahkan bahawa kawalan HACCP dilaksanakan dan diselenggara. Jika panduan HACCP sektor digunakan, panduan itu mencerminkan operasi sebenar premis.</t>
        </is>
      </c>
      <c r="C678" s="7" t="inlineStr">
        <is>
          <t>MS 1480 kl. 6.3.9.1 (saranan)</t>
        </is>
      </c>
      <c r="D678" s="7" t="inlineStr"/>
      <c r="E678" s="7" t="inlineStr"/>
      <c r="F678" t="inlineStr">
        <is>
          <t>U</t>
        </is>
      </c>
    </row>
    <row r="679">
      <c r="A679" s="7" t="inlineStr">
        <is>
          <t>U52</t>
        </is>
      </c>
      <c r="B679" s="7" t="inlineStr">
        <is>
          <t>Sistem HACCP yang didokumenkan diwujudkan. Contoh kandungan: komposisi pasukan HACCP, analisis bahaya dan sokongan saintifik bagi bahaya yang dimasukkan atau dikecualikan, penentuan CCP, penentuan had kritikal dan sokongan saintifiknya, validasi langkah kawalan, serta pengubahsuaian pelan HACCP.</t>
        </is>
      </c>
      <c r="C679" s="7" t="inlineStr">
        <is>
          <t>MS 1480 kl. 6.3.9.2</t>
        </is>
      </c>
      <c r="D679" s="7" t="inlineStr"/>
      <c r="E679" s="7" t="inlineStr"/>
      <c r="F679" t="inlineStr">
        <is>
          <t>U</t>
        </is>
      </c>
    </row>
    <row r="680">
      <c r="A680" s="7" t="inlineStr">
        <is>
          <t>U53</t>
        </is>
      </c>
      <c r="B680" s="7" t="inlineStr">
        <is>
          <t>Sistem HACCP dan dokumentasinya diselenggara dan dikemas kini bagi memastikan pematuhan kepada keperluan MS 1480 serta perundangan dan peraturan yang terpakai.</t>
        </is>
      </c>
      <c r="C680" s="7" t="inlineStr">
        <is>
          <t>MS 1480 kl. 6.3.9.2</t>
        </is>
      </c>
      <c r="D680" s="7" t="inlineStr"/>
      <c r="E680" s="7" t="inlineStr"/>
      <c r="F680" t="inlineStr">
        <is>
          <t>U</t>
        </is>
      </c>
    </row>
    <row r="681">
      <c r="A681" s="7" t="inlineStr">
        <is>
          <t>U54</t>
        </is>
      </c>
      <c r="B681" s="7" t="inlineStr">
        <is>
          <t>Rekod diwujudkan dan diselenggara sebagai bukti pematuhan kepada keperluan dan keberkesanan operasi sistem HACCP (cth. rekod pemantauan CCP, sisihan dan tindakan pembetulan, serta verifikasi yang dilaksanakan).</t>
        </is>
      </c>
      <c r="C681" s="7" t="inlineStr">
        <is>
          <t>MS 1480 kl. 6.3.9.3.1</t>
        </is>
      </c>
      <c r="D681" s="7" t="inlineStr"/>
      <c r="E681" s="7" t="inlineStr"/>
      <c r="F681" t="inlineStr">
        <is>
          <t>U</t>
        </is>
      </c>
    </row>
    <row r="682">
      <c r="A682" s="7" t="inlineStr">
        <is>
          <t>U55</t>
        </is>
      </c>
      <c r="B682" s="7" t="inlineStr">
        <is>
          <t>Sistem penyimpanan rekod berkesan (cth. rekod lengkap dan tepat). Sistem ini boleh disepadukan dengan operasi dan kertas kerja sedia ada seperti invois penghantaran dan senarai semak.</t>
        </is>
      </c>
      <c r="C682" s="7" t="inlineStr">
        <is>
          <t>MS 1480 kl. 6.3.9.3.2</t>
        </is>
      </c>
      <c r="D682" s="7" t="inlineStr"/>
      <c r="E682" s="7" t="inlineStr"/>
      <c r="F682" t="inlineStr">
        <is>
          <t>U</t>
        </is>
      </c>
    </row>
    <row r="683">
      <c r="A683" s="7" t="inlineStr">
        <is>
          <t>U56</t>
        </is>
      </c>
      <c r="B683" s="7" t="inlineStr">
        <is>
          <t>Sistem penyimpanan rekod dimaklumkan kepada personel berkaitan, iaitu mereka tahu rekod yang perlu diisi, cara mengisinya dan tempat menyimpannya.</t>
        </is>
      </c>
      <c r="C683" s="7" t="inlineStr">
        <is>
          <t>MS 1480 kl. 6.3.9.3.2</t>
        </is>
      </c>
      <c r="D683" s="7" t="inlineStr"/>
      <c r="E683" s="7" t="inlineStr"/>
      <c r="F683" t="inlineStr">
        <is>
          <t>U</t>
        </is>
      </c>
    </row>
    <row r="684">
      <c r="A684" s="7" t="inlineStr">
        <is>
          <t>U57</t>
        </is>
      </c>
      <c r="B684" s="7" t="inlineStr">
        <is>
          <t>Dokumen yang diperlukan oleh sistem HACCP dikawal, dan rekod dikawal sebagai dokumen jenis khas mengikut keperluan kawalan rekod (6.3.9.5).</t>
        </is>
      </c>
      <c r="C684" s="7" t="inlineStr">
        <is>
          <t>MS 1480 kl. 6.3.9.4.1</t>
        </is>
      </c>
      <c r="D684" s="7" t="inlineStr"/>
      <c r="E684" s="7" t="inlineStr"/>
      <c r="F684" t="inlineStr">
        <is>
          <t>U</t>
        </is>
      </c>
    </row>
    <row r="685">
      <c r="A685" s="7" t="inlineStr">
        <is>
          <t>U58</t>
        </is>
      </c>
      <c r="B685" s="7" t="inlineStr">
        <is>
          <t>Prosedur kawalan dokumen yang didokumenkan diwujudkan. Ia mentakrifkan kawalan bagi kelulusan, semakan dan kemas kini, status semakan, ketersediaan di tempat penggunaan, kebolehbacaan, dokumen luaran dan dokumen usang.</t>
        </is>
      </c>
      <c r="C685" s="7" t="inlineStr">
        <is>
          <t>MS 1480 kl. 6.3.9.4.2</t>
        </is>
      </c>
      <c r="D685" s="7" t="inlineStr"/>
      <c r="E685" s="7" t="inlineStr"/>
      <c r="F685" t="inlineStr">
        <is>
          <t>U</t>
        </is>
      </c>
    </row>
    <row r="686">
      <c r="A686" s="7" t="inlineStr">
        <is>
          <t>U59</t>
        </is>
      </c>
      <c r="B686" s="7" t="inlineStr">
        <is>
          <t>Dokumen diluluskan untuk kecukupan sebelum dikeluarkan, dikaji semula dan dikemas kini apabila perlu, serta diluluskan semula.</t>
        </is>
      </c>
      <c r="C686" s="7" t="inlineStr">
        <is>
          <t>MS 1480 kl. 6.3.9.4.2</t>
        </is>
      </c>
      <c r="D686" s="7" t="inlineStr"/>
      <c r="E686" s="7" t="inlineStr"/>
      <c r="F686" t="inlineStr">
        <is>
          <t>U</t>
        </is>
      </c>
    </row>
    <row r="687">
      <c r="A687" s="7" t="inlineStr">
        <is>
          <t>U60</t>
        </is>
      </c>
      <c r="B687" s="7" t="inlineStr">
        <is>
          <t>Perubahan dan status semakan semasa dokumen dikenal pasti (cth. nombor semakan, tarikh kuat kuasa, senarai induk dokumen).</t>
        </is>
      </c>
      <c r="C687" s="7" t="inlineStr">
        <is>
          <t>MS 1480 kl. 6.3.9.4.2</t>
        </is>
      </c>
      <c r="D687" s="7" t="inlineStr"/>
      <c r="E687" s="7" t="inlineStr"/>
      <c r="F687" t="inlineStr">
        <is>
          <t>U</t>
        </is>
      </c>
    </row>
    <row r="688">
      <c r="A688" s="7" t="inlineStr">
        <is>
          <t>U61</t>
        </is>
      </c>
      <c r="B688" s="7" t="inlineStr">
        <is>
          <t>Versi dokumen yang berkaitan dan terkini tersedia di tempat penggunaan, serta kekal mudah dibaca dan mudah dikenal pasti.</t>
        </is>
      </c>
      <c r="C688" s="7" t="inlineStr">
        <is>
          <t>MS 1480 kl. 6.3.9.4.2</t>
        </is>
      </c>
      <c r="D688" s="7" t="inlineStr"/>
      <c r="E688" s="7" t="inlineStr"/>
      <c r="F688" t="inlineStr">
        <is>
          <t>U</t>
        </is>
      </c>
    </row>
    <row r="689">
      <c r="A689" s="7" t="inlineStr">
        <is>
          <t>U62</t>
        </is>
      </c>
      <c r="B689" s="7" t="inlineStr">
        <is>
          <t>Dokumen berkaitan yang berasal dari luar organisasi (cth. peraturan, spesifikasi pelanggan, piawaian) dikenal pasti dan pengedarannya dikawal.</t>
        </is>
      </c>
      <c r="C689" s="7" t="inlineStr">
        <is>
          <t>MS 1480 kl. 6.3.9.4.2</t>
        </is>
      </c>
      <c r="D689" s="7" t="inlineStr"/>
      <c r="E689" s="7" t="inlineStr"/>
      <c r="F689" t="inlineStr">
        <is>
          <t>U</t>
        </is>
      </c>
    </row>
    <row r="690">
      <c r="A690" s="7" t="inlineStr">
        <is>
          <t>U63</t>
        </is>
      </c>
      <c r="B690" s="7" t="inlineStr">
        <is>
          <t>Dokumen usang dicegah daripada digunakan secara tidak sengaja, dan ditanda dengan sewajarnya (cth. cop 'USANG') jika disimpan untuk apa-apa tujuan.</t>
        </is>
      </c>
      <c r="C690" s="7" t="inlineStr">
        <is>
          <t>MS 1480 kl. 6.3.9.4.2</t>
        </is>
      </c>
      <c r="D690" s="7" t="inlineStr"/>
      <c r="E690" s="7" t="inlineStr"/>
      <c r="F690" t="inlineStr">
        <is>
          <t>U</t>
        </is>
      </c>
    </row>
    <row r="691">
      <c r="A691" s="7" t="inlineStr">
        <is>
          <t>U64</t>
        </is>
      </c>
      <c r="B691" s="7" t="inlineStr">
        <is>
          <t>Rekod kekal mudah dibaca, mudah dikenal pasti dan boleh diperoleh semula.</t>
        </is>
      </c>
      <c r="C691" s="7" t="inlineStr">
        <is>
          <t>MS 1480 kl. 6.3.9.5.1</t>
        </is>
      </c>
      <c r="D691" s="7" t="inlineStr"/>
      <c r="E691" s="7" t="inlineStr"/>
      <c r="F691" t="inlineStr">
        <is>
          <t>U</t>
        </is>
      </c>
    </row>
    <row r="692">
      <c r="A692" s="7" t="inlineStr">
        <is>
          <t>U65</t>
        </is>
      </c>
      <c r="B692" s="7" t="inlineStr">
        <is>
          <t>Rekod pemprosesan, pengeluaran, pengedaran dan rekod lain disimpan mengikut keperluan statutori, peraturan dan pelanggan, dan bagi tempoh minimum yang melebihi jangka hayat produk.</t>
        </is>
      </c>
      <c r="C692" s="7" t="inlineStr">
        <is>
          <t>MS 1480 kl. 6.3.9.5.2</t>
        </is>
      </c>
      <c r="D692" s="7" t="inlineStr"/>
      <c r="E692" s="7" t="inlineStr"/>
      <c r="F692" t="inlineStr">
        <is>
          <t>U</t>
        </is>
      </c>
    </row>
    <row r="693">
      <c r="A693" s="7" t="inlineStr">
        <is>
          <t>U66</t>
        </is>
      </c>
      <c r="B693" s="7" t="inlineStr">
        <is>
          <t>Rekod boleh diperoleh semula dan dikesan berdasarkan pengenalan lot produk akhir (cth. uji kesan rekod menggunakan satu nombor lot).</t>
        </is>
      </c>
      <c r="C693" s="7" t="inlineStr">
        <is>
          <t>MS 1480 kl. 6.3.9.5.2</t>
        </is>
      </c>
      <c r="D693" s="7" t="inlineStr"/>
      <c r="E693" s="7" t="inlineStr"/>
      <c r="F693" t="inlineStr">
        <is>
          <t>U</t>
        </is>
      </c>
    </row>
    <row r="694">
      <c r="A694" s="7" t="inlineStr">
        <is>
          <t>U67</t>
        </is>
      </c>
      <c r="B694" s="7" t="inlineStr">
        <is>
          <t>Rekod kebolehkesanan diselenggara bagi tempoh yang ditetapkan untuk penilaian sistem, bagi membolehkan pengendalian produk yang berpotensi tidak selamat dan penarikan balik produk.</t>
        </is>
      </c>
      <c r="C694" s="7" t="inlineStr">
        <is>
          <t>MS 1480 kl. 6.3.9.5.3</t>
        </is>
      </c>
      <c r="D694" s="7" t="inlineStr"/>
      <c r="E694" s="7" t="inlineStr"/>
      <c r="F694" t="inlineStr">
        <is>
          <t>U</t>
        </is>
      </c>
    </row>
    <row r="695">
      <c r="A695" s="7" t="inlineStr">
        <is>
          <t>U68</t>
        </is>
      </c>
      <c r="B695" s="7" t="inlineStr">
        <is>
          <t>Audit dalaman sistem HACCP dijalankan pada selang masa yang dirancang; jadual audit wujud dan rekod menunjukkan audit telah dilaksanakan mengikut jadual.</t>
        </is>
      </c>
      <c r="C695" s="7" t="inlineStr">
        <is>
          <t>MS 1480 kl. 6.4.1</t>
        </is>
      </c>
      <c r="D695" s="7" t="inlineStr"/>
      <c r="E695" s="7" t="inlineStr"/>
      <c r="F695" t="inlineStr">
        <is>
          <t>U</t>
        </is>
      </c>
    </row>
    <row r="696">
      <c r="A696" s="7" t="inlineStr">
        <is>
          <t>U69</t>
        </is>
      </c>
      <c r="B696" s="7" t="inlineStr">
        <is>
          <t>Laporan audit dalaman menilai sama ada sistem HACCP mematuhi perancangan, keperluan HACCP yang ditetapkan oleh organisasi dan keperluan MS 1480, serta sama ada sistem dilaksanakan dengan berkesan dan dikemas kini.</t>
        </is>
      </c>
      <c r="C696" s="7" t="inlineStr">
        <is>
          <t>MS 1480 kl. 6.4.1</t>
        </is>
      </c>
      <c r="D696" s="7" t="inlineStr"/>
      <c r="E696" s="7" t="inlineStr"/>
      <c r="F696" t="inlineStr">
        <is>
          <t>U</t>
        </is>
      </c>
    </row>
    <row r="697">
      <c r="A697" s="7" t="inlineStr">
        <is>
          <t>U70</t>
        </is>
      </c>
      <c r="B697" s="7" t="inlineStr">
        <is>
          <t>Program audit dirancang dengan mengambil kira kepentingan proses dan kawasan yang diaudit serta tindakan pengemaskinian hasil daripada audit terdahulu (contoh: kawasan kritikal atau kawasan yang ada penemuan lepas diaudit lebih kerap).</t>
        </is>
      </c>
      <c r="C697" s="7" t="inlineStr">
        <is>
          <t>MS 1480 kl. 6.4.2</t>
        </is>
      </c>
      <c r="D697" s="7" t="inlineStr"/>
      <c r="E697" s="7" t="inlineStr"/>
      <c r="F697" t="inlineStr">
        <is>
          <t>U</t>
        </is>
      </c>
    </row>
    <row r="698">
      <c r="A698" s="7" t="inlineStr">
        <is>
          <t>U71</t>
        </is>
      </c>
      <c r="B698" s="7" t="inlineStr">
        <is>
          <t>Kriteria, skop, kekerapan dan kaedah audit ditetapkan secara jelas dalam program atau pelan audit.</t>
        </is>
      </c>
      <c r="C698" s="7" t="inlineStr">
        <is>
          <t>MS 1480 kl. 6.4.2</t>
        </is>
      </c>
      <c r="D698" s="7" t="inlineStr"/>
      <c r="E698" s="7" t="inlineStr"/>
      <c r="F698" t="inlineStr">
        <is>
          <t>U</t>
        </is>
      </c>
    </row>
    <row r="699">
      <c r="A699" s="7" t="inlineStr">
        <is>
          <t>U72</t>
        </is>
      </c>
      <c r="B699" s="7" t="inlineStr">
        <is>
          <t>Pemilihan juruaudit dan cara audit dijalankan memastikan objektiviti dan ketidakberpihakan proses audit (contoh: senarai juruaudit yang layak dan bebas daripada kawasan yang diaudit).</t>
        </is>
      </c>
      <c r="C699" s="7" t="inlineStr">
        <is>
          <t>MS 1480 kl. 6.4.2</t>
        </is>
      </c>
      <c r="D699" s="7" t="inlineStr"/>
      <c r="E699" s="7" t="inlineStr"/>
      <c r="F699" t="inlineStr">
        <is>
          <t>U</t>
        </is>
      </c>
    </row>
    <row r="700">
      <c r="A700" s="7" t="inlineStr">
        <is>
          <t>U73</t>
        </is>
      </c>
      <c r="B700" s="7" t="inlineStr">
        <is>
          <t>Juruaudit tidak mengaudit kerja atau kawasan tanggungjawab mereka sendiri; semak penugasan juruaudit berbanding kawasan yang diaudit.</t>
        </is>
      </c>
      <c r="C700" s="7" t="inlineStr">
        <is>
          <t>MS 1480 kl. 6.4.2</t>
        </is>
      </c>
      <c r="D700" s="7" t="inlineStr"/>
      <c r="E700" s="7" t="inlineStr"/>
      <c r="F700" t="inlineStr">
        <is>
          <t>U</t>
        </is>
      </c>
    </row>
    <row r="701">
      <c r="A701" s="7" t="inlineStr">
        <is>
          <t>U74</t>
        </is>
      </c>
      <c r="B701" s="7" t="inlineStr">
        <is>
          <t>Prosedur audit dalaman berdokumen wujud dan menetapkan tanggungjawab serta keperluan bagi merancang dan menjalankan audit, melaporkan keputusan audit dan menyimpan rekod audit.</t>
        </is>
      </c>
      <c r="C701" s="7" t="inlineStr">
        <is>
          <t>MS 1480 kl. 6.4.3</t>
        </is>
      </c>
      <c r="D701" s="7" t="inlineStr"/>
      <c r="E701" s="7" t="inlineStr"/>
      <c r="F701" t="inlineStr">
        <is>
          <t>U</t>
        </is>
      </c>
    </row>
    <row r="702">
      <c r="A702" s="7" t="inlineStr">
        <is>
          <t>U75</t>
        </is>
      </c>
      <c r="B702" s="7" t="inlineStr">
        <is>
          <t>Pengurusan yang bertanggungjawab ke atas kawasan yang diaudit memastikan tindakan pembetulan diambil tanpa kelewatan yang tidak wajar untuk menghapuskan ketidakakuran yang dikesan dan puncanya; semak tarikh sasaran dan tarikh penutupan dalam laporan ketidakakuran.</t>
        </is>
      </c>
      <c r="C702" s="7" t="inlineStr">
        <is>
          <t>MS 1480 kl. 6.4.5</t>
        </is>
      </c>
      <c r="D702" s="7" t="inlineStr"/>
      <c r="E702" s="7" t="inlineStr"/>
      <c r="F702" t="inlineStr">
        <is>
          <t>U</t>
        </is>
      </c>
    </row>
    <row r="703">
      <c r="A703" s="7" t="inlineStr">
        <is>
          <t>U76</t>
        </is>
      </c>
      <c r="B703" s="7" t="inlineStr">
        <is>
          <t>Aktiviti susulan audit merangkumi verifikasi terhadap tindakan pembetulan yang diambil serta pelaporan keputusan verifikasi tersebut (contoh bukti: laporan penutupan ketidakakuran yang ditandatangani).</t>
        </is>
      </c>
      <c r="C703" s="7" t="inlineStr">
        <is>
          <t>MS 1480 kl. 6.4.5</t>
        </is>
      </c>
      <c r="D703" s="7" t="inlineStr"/>
      <c r="E703" s="7" t="inlineStr"/>
      <c r="F703" t="inlineStr">
        <is>
          <t>U</t>
        </is>
      </c>
    </row>
    <row r="704">
      <c r="A704" s="7" t="inlineStr">
        <is>
          <t>U77</t>
        </is>
      </c>
      <c r="B704" s="7" t="inlineStr">
        <is>
          <t>Pengurusan dengan tanggungjawab eksekutif mengkaji semula kesesuaian, kecukupan dan keberkesanan berterusan sistem HACCP pada selang masa yang ditetapkan, tidak melebihi 12 bulan (termasuk apabila pengurus tersebut juga ketua pasukan atau penyelaras HACCP), bagi memenuhi keperluan pelanggan dan pihak berkuasa serta polisi dan objektif keselamatan makanan.</t>
        </is>
      </c>
      <c r="C704" s="7" t="inlineStr">
        <is>
          <t>MS 1480 kl. 6.5.1</t>
        </is>
      </c>
      <c r="D704" s="7" t="inlineStr"/>
      <c r="E704" s="7" t="inlineStr"/>
      <c r="F704" t="inlineStr">
        <is>
          <t>U</t>
        </is>
      </c>
    </row>
    <row r="705">
      <c r="A705" s="7" t="inlineStr">
        <is>
          <t>U78</t>
        </is>
      </c>
      <c r="B705" s="7" t="inlineStr">
        <is>
          <t>Input kajian semula pengurusan sekurang-kurangnya merangkumi: (a) status tindakan daripada kajian semula terdahulu; (b) analisis keputusan pemantauan CCP; (c) analisis keputusan aktiviti verifikasi; (d) perubahan keadaan yang boleh menjejaskan keselamatan makanan; (e) situasi kecemasan, insiden dan penarikan balik; (f) keputusan aktiviti pengemaskinian sistem; (g) aktiviti komunikasi termasuk dengan badan kawal selia, maklum balas dan aduan pelanggan; dan (h) analisis keputusan verifikasi berkaitan PRP.</t>
        </is>
      </c>
      <c r="C705" s="7" t="inlineStr">
        <is>
          <t>MS 1480 kl. 6.5.2</t>
        </is>
      </c>
      <c r="D705" s="7" t="inlineStr"/>
      <c r="E705" s="7" t="inlineStr"/>
      <c r="F705" t="inlineStr">
        <is>
          <t>U</t>
        </is>
      </c>
    </row>
    <row r="706">
      <c r="A706" s="7" t="inlineStr">
        <is>
          <t>U79</t>
        </is>
      </c>
      <c r="B706" s="7" t="inlineStr">
        <is>
          <t>Data kajian semula pengurusan dibentangkan dalam bentuk yang membolehkan pengurusan atasan mengaitkan maklumat dengan objektif sistem HACCP yang dinyatakan (contoh: trend prestasi berbanding sasaran objektif).</t>
        </is>
      </c>
      <c r="C706" s="7" t="inlineStr">
        <is>
          <t>MS 1480 kl. 6.5.3</t>
        </is>
      </c>
      <c r="D706" s="7" t="inlineStr"/>
      <c r="E706" s="7" t="inlineStr"/>
      <c r="F706" t="inlineStr">
        <is>
          <t>U</t>
        </is>
      </c>
    </row>
    <row r="707">
      <c r="A707" s="7" t="inlineStr">
        <is>
          <t>U80</t>
        </is>
      </c>
      <c r="B707" s="7" t="inlineStr">
        <is>
          <t>Output kajian semula pengurusan mengandungi keputusan dan tindakan berkaitan jaminan keselamatan makanan, keberkesanan sistem HACCP, keperluan sumber dan latihan, serta semakan polisi dan objektif keselamatan makanan.</t>
        </is>
      </c>
      <c r="C707" s="7" t="inlineStr">
        <is>
          <t>MS 1480 kl. 6.5.3</t>
        </is>
      </c>
      <c r="D707" s="7" t="inlineStr"/>
      <c r="E707" s="7" t="inlineStr"/>
      <c r="F707" t="inlineStr">
        <is>
          <t>U</t>
        </is>
      </c>
    </row>
    <row r="708">
      <c r="A708" s="7" t="inlineStr">
        <is>
          <t>U81</t>
        </is>
      </c>
      <c r="B708" s="7" t="inlineStr">
        <is>
          <t>Rekod kajian semula pengurusan (contoh: minit mesyuarat, senarai kehadiran, pelan tindakan) disimpan dan boleh dikemukakan.</t>
        </is>
      </c>
      <c r="C708" s="7" t="inlineStr">
        <is>
          <t>MS 1480 kl. 6.5.4</t>
        </is>
      </c>
      <c r="D708" s="7" t="inlineStr"/>
      <c r="E708" s="7" t="inlineStr"/>
      <c r="F708" t="inlineStr">
        <is>
          <t>U</t>
        </is>
      </c>
    </row>
    <row r="709">
      <c r="A709" s="4" t="inlineStr">
        <is>
          <t>Bahagian V: HACCP MS 1480: Operasi, penyelenggaraan dan penambahbaikan sistem</t>
        </is>
      </c>
      <c r="B709" s="5" t="n"/>
      <c r="C709" s="5" t="n"/>
      <c r="D709" s="5" t="n"/>
      <c r="E709" s="6" t="n"/>
    </row>
    <row r="710" ht="26" customHeight="1">
      <c r="A710" s="2" t="inlineStr">
        <is>
          <t>Semak kawalan produk tidak akur, kebolehkesanan, kesiapsiagaan kecemasan, notifikasi dan tarik balik, kawalan alat pengukur serta penyelenggaraan dan penambahbaikan sistem HACCP (klausa 7).</t>
        </is>
      </c>
    </row>
    <row r="711">
      <c r="A711" s="7" t="inlineStr">
        <is>
          <t>V1</t>
        </is>
      </c>
      <c r="B711" s="7" t="inlineStr">
        <is>
          <t>Proses yang diperlukan untuk mengekalkan keberkesanan sistem HACCP dilaksanakan dan diselenggara melalui aktiviti verifikasi yang tetap dan berjadual; jadual verifikasi (contoh: semakan rekod CCP, ujian makmal, penentukuran) wujud.</t>
        </is>
      </c>
      <c r="C711" s="7" t="inlineStr">
        <is>
          <t>MS 1480 kl. 7.1.1</t>
        </is>
      </c>
      <c r="D711" s="7" t="inlineStr"/>
      <c r="E711" s="7" t="inlineStr"/>
      <c r="F711" t="inlineStr">
        <is>
          <t>V</t>
        </is>
      </c>
    </row>
    <row r="712">
      <c r="A712" s="7" t="inlineStr">
        <is>
          <t>V2</t>
        </is>
      </c>
      <c r="B712" s="7" t="inlineStr">
        <is>
          <t>Prosedur berdokumen bagi pengendalian, kawalan atau pelupusan produk tidak patuh diwujudkan dan diselenggara supaya produk tersebut tidak menimbulkan bahaya kepada keselamatan makanan.</t>
        </is>
      </c>
      <c r="C712" s="7" t="inlineStr">
        <is>
          <t>MS 1480 kl. 7.2.1</t>
        </is>
      </c>
      <c r="D712" s="7" t="inlineStr"/>
      <c r="E712" s="7" t="inlineStr"/>
      <c r="F712" t="inlineStr">
        <is>
          <t>V</t>
        </is>
      </c>
    </row>
    <row r="713">
      <c r="A713" s="7" t="inlineStr">
        <is>
          <t>V3</t>
        </is>
      </c>
      <c r="B713" s="7" t="inlineStr">
        <is>
          <t>Tindakan pembetulan diambil bagi produk tidak patuh dan direkodkan.</t>
        </is>
      </c>
      <c r="C713" s="7" t="inlineStr">
        <is>
          <t>MS 1480 kl. 7.2.1</t>
        </is>
      </c>
      <c r="D713" s="7" t="inlineStr"/>
      <c r="E713" s="7" t="inlineStr"/>
      <c r="F713" t="inlineStr">
        <is>
          <t>V</t>
        </is>
      </c>
    </row>
    <row r="714">
      <c r="A714" s="7" t="inlineStr">
        <is>
          <t>V4</t>
        </is>
      </c>
      <c r="B714" s="7" t="inlineStr">
        <is>
          <t>Produk tidak patuh dilabel dengan jelas (contoh: tag 'DITAHAN' atau 'DITOLAK') dan, jika dikerja semula, diasingkan atau dilupuskan, dikendalikan dengan cara yang tidak mencemarkan makanan lain; semak di kawasan tahanan atau stor.</t>
        </is>
      </c>
      <c r="C714" s="7" t="inlineStr">
        <is>
          <t>MS 1480 kl. 7.2.2</t>
        </is>
      </c>
      <c r="D714" s="7" t="inlineStr"/>
      <c r="E714" s="7" t="inlineStr"/>
      <c r="F714" t="inlineStr">
        <is>
          <t>V</t>
        </is>
      </c>
    </row>
    <row r="715">
      <c r="A715" s="7" t="inlineStr">
        <is>
          <t>V5</t>
        </is>
      </c>
      <c r="B715" s="7" t="inlineStr">
        <is>
          <t>Butiran tindakan pembetulan, termasuk punca penyimpangan dan prosedur disposisi produk, didokumenkan dalam rekod HACCP.</t>
        </is>
      </c>
      <c r="C715" s="7" t="inlineStr">
        <is>
          <t>MS 1480 kl. 7.2.3 (saranan)</t>
        </is>
      </c>
      <c r="D715" s="7" t="inlineStr"/>
      <c r="E715" s="7" t="inlineStr"/>
      <c r="F715" t="inlineStr">
        <is>
          <t>V</t>
        </is>
      </c>
    </row>
    <row r="716">
      <c r="A716" s="7" t="inlineStr">
        <is>
          <t>V6</t>
        </is>
      </c>
      <c r="B716" s="7" t="inlineStr">
        <is>
          <t>Tindakan pembetulan dikaji semula secara berkala untuk mengenal pasti trend dan memastikan tindakan tersebut berkesan.</t>
        </is>
      </c>
      <c r="C716" s="7" t="inlineStr">
        <is>
          <t>MS 1480 kl. 7.2.3 (saranan)</t>
        </is>
      </c>
      <c r="D716" s="7" t="inlineStr"/>
      <c r="E716" s="7" t="inlineStr"/>
      <c r="F716" t="inlineStr">
        <is>
          <t>V</t>
        </is>
      </c>
    </row>
    <row r="717">
      <c r="A717" s="7" t="inlineStr">
        <is>
          <t>V7</t>
        </is>
      </c>
      <c r="B717" s="7" t="inlineStr">
        <is>
          <t>Analisis punca akar dijalankan (jika boleh) bagi mengenal pasti dan membetulkan sumber penyimpangan supaya kemungkinan penyimpangan berulang dapat dikurangkan.</t>
        </is>
      </c>
      <c r="C717" s="7" t="inlineStr">
        <is>
          <t>MS 1480 kl. 7.2.4 (saranan)</t>
        </is>
      </c>
      <c r="D717" s="7" t="inlineStr"/>
      <c r="E717" s="7" t="inlineStr"/>
      <c r="F717" t="inlineStr">
        <is>
          <t>V</t>
        </is>
      </c>
    </row>
    <row r="718">
      <c r="A718" s="7" t="inlineStr">
        <is>
          <t>V8</t>
        </is>
      </c>
      <c r="B718" s="7" t="inlineStr">
        <is>
          <t>Sistem kebolehkesanan diwujudkan dan dilaksanakan yang dapat mengaitkan lot produk dengan kelompok bahan mentah, rekod pemprosesan dan rekod penghantaran (uji dengan memilih satu lot produk akhir dan menjejak rekodnya).</t>
        </is>
      </c>
      <c r="C718" s="7" t="inlineStr">
        <is>
          <t>MS 1480 kl. 7.3.1</t>
        </is>
      </c>
      <c r="D718" s="7" t="inlineStr"/>
      <c r="E718" s="7" t="inlineStr"/>
      <c r="F718" t="inlineStr">
        <is>
          <t>V</t>
        </is>
      </c>
    </row>
    <row r="719">
      <c r="A719" s="7" t="inlineStr">
        <is>
          <t>V9</t>
        </is>
      </c>
      <c r="B719" s="7" t="inlineStr">
        <is>
          <t>Sistem kebolehkesanan dapat mengenal pasti bahan masuk daripada pembekal terdekat (satu langkah ke belakang), contoh: rekod penerimaan dengan nombor lot pembekal.</t>
        </is>
      </c>
      <c r="C719" s="7" t="inlineStr">
        <is>
          <t>MS 1480 kl. 7.3.2</t>
        </is>
      </c>
      <c r="D719" s="7" t="inlineStr"/>
      <c r="E719" s="7" t="inlineStr"/>
      <c r="F719" t="inlineStr">
        <is>
          <t>V</t>
        </is>
      </c>
    </row>
    <row r="720">
      <c r="A720" s="7" t="inlineStr">
        <is>
          <t>V10</t>
        </is>
      </c>
      <c r="B720" s="7" t="inlineStr">
        <is>
          <t>Sistem kebolehkesanan dapat mengenal pasti laluan pengedaran awal produk akhir (satu langkah ke hadapan), contoh: rekod penghantaran kepada pelanggan langsung.</t>
        </is>
      </c>
      <c r="C720" s="7" t="inlineStr">
        <is>
          <t>MS 1480 kl. 7.3.2</t>
        </is>
      </c>
      <c r="D720" s="7" t="inlineStr"/>
      <c r="E720" s="7" t="inlineStr"/>
      <c r="F720" t="inlineStr">
        <is>
          <t>V</t>
        </is>
      </c>
    </row>
    <row r="721">
      <c r="A721" s="7" t="inlineStr">
        <is>
          <t>V11</t>
        </is>
      </c>
      <c r="B721" s="7" t="inlineStr">
        <is>
          <t>Rekod kebolehkesanan disimpan bagi tempoh yang ditetapkan bagi membolehkan penilaian sistem, pengendalian produk yang berpotensi tidak selamat dan penarikan balik produk.</t>
        </is>
      </c>
      <c r="C721" s="7" t="inlineStr">
        <is>
          <t>MS 1480 kl. 7.3.3</t>
        </is>
      </c>
      <c r="D721" s="7" t="inlineStr"/>
      <c r="E721" s="7" t="inlineStr"/>
      <c r="F721" t="inlineStr">
        <is>
          <t>V</t>
        </is>
      </c>
    </row>
    <row r="722">
      <c r="A722" s="7" t="inlineStr">
        <is>
          <t>V12</t>
        </is>
      </c>
      <c r="B722" s="7" t="inlineStr">
        <is>
          <t>Rekod kebolehkesanan (kandungan dan tempoh simpanan) mematuhi keperluan statutori, peraturan dan pelanggan.</t>
        </is>
      </c>
      <c r="C722" s="7" t="inlineStr">
        <is>
          <t>MS 1480 kl. 7.3.3</t>
        </is>
      </c>
      <c r="D722" s="7" t="inlineStr"/>
      <c r="E722" s="7" t="inlineStr"/>
      <c r="F722" t="inlineStr">
        <is>
          <t>V</t>
        </is>
      </c>
    </row>
    <row r="723">
      <c r="A723" s="7" t="inlineStr">
        <is>
          <t>V13</t>
        </is>
      </c>
      <c r="B723" s="7" t="inlineStr">
        <is>
          <t>Prosedur tindak balas wujud bagi situasi kecemasan atau insiden berpotensi yang boleh menjejaskan keselamatan makanan dan relevan dengan peranan organisasi dalam rantaian makanan (contoh: bencana alam, kemalangan alam sekitar, bioterorisme, kemalangan di tempat kerja, kecemasan kesihatan awam, gangguan bekalan air, elektrik atau penyejukan).</t>
        </is>
      </c>
      <c r="C723" s="7" t="inlineStr">
        <is>
          <t>MS 1480 kl. 7.4</t>
        </is>
      </c>
      <c r="D723" s="7" t="inlineStr"/>
      <c r="E723" s="7" t="inlineStr"/>
      <c r="F723" t="inlineStr">
        <is>
          <t>V</t>
        </is>
      </c>
    </row>
    <row r="724">
      <c r="A724" s="7" t="inlineStr">
        <is>
          <t>V14</t>
        </is>
      </c>
      <c r="B724" s="7" t="inlineStr">
        <is>
          <t>Prosedur berdokumen bagi pemberitahuan kepada pihak berkepentingan yang berkaitan (pihak berkuasa, pelanggan, pengguna) diwujudkan dan diselenggara untuk situasi di mana produk yang telah dihantar didapati membahayakan keselamatan makanan (contoh bukti: senarai hubungan yang terkini).</t>
        </is>
      </c>
      <c r="C724" s="7" t="inlineStr">
        <is>
          <t>MS 1480 kl. 7.5.1</t>
        </is>
      </c>
      <c r="D724" s="7" t="inlineStr"/>
      <c r="E724" s="7" t="inlineStr"/>
      <c r="F724" t="inlineStr">
        <is>
          <t>V</t>
        </is>
      </c>
    </row>
    <row r="725">
      <c r="A725" s="7" t="inlineStr">
        <is>
          <t>V15</t>
        </is>
      </c>
      <c r="B725" s="7" t="inlineStr">
        <is>
          <t>Prosedur berdokumen bagi penarikan balik produk diwujudkan dan diselenggara untuk situasi di mana produk yang telah dihantar didapati membahayakan keselamatan makanan.</t>
        </is>
      </c>
      <c r="C725" s="7" t="inlineStr">
        <is>
          <t>MS 1480 kl. 7.5.1</t>
        </is>
      </c>
      <c r="D725" s="7" t="inlineStr"/>
      <c r="E725" s="7" t="inlineStr"/>
      <c r="F725" t="inlineStr">
        <is>
          <t>V</t>
        </is>
      </c>
    </row>
    <row r="726">
      <c r="A726" s="7" t="inlineStr">
        <is>
          <t>V16</t>
        </is>
      </c>
      <c r="B726" s="7" t="inlineStr">
        <is>
          <t>Produk yang ditarik balik disimpan di bawah pengawasan (contoh: diasingkan dan dilabel) sehingga dimusnahkan, digunakan bagi tujuan selain makanan manusia, disahkan selamat dimakan, atau diproses semula dengan cara yang memastikan keselamatannya (contoh bukti: rekod disposisi).</t>
        </is>
      </c>
      <c r="C726" s="7" t="inlineStr">
        <is>
          <t>MS 1480 kl. 7.5.2</t>
        </is>
      </c>
      <c r="D726" s="7" t="inlineStr"/>
      <c r="E726" s="7" t="inlineStr"/>
      <c r="F726" t="inlineStr">
        <is>
          <t>V</t>
        </is>
      </c>
    </row>
    <row r="727">
      <c r="A727" s="7" t="inlineStr">
        <is>
          <t>V17</t>
        </is>
      </c>
      <c r="B727" s="7" t="inlineStr">
        <is>
          <t>Apabila produk ditarik balik kerana bahaya keselamatan makanan, produk lain yang dihasilkan dalam keadaan serupa dan mungkin membawa bahaya yang sama kepada kesihatan awam dinilai dari segi keselamatan makanan (contoh bukti: rekod penilaian).</t>
        </is>
      </c>
      <c r="C727" s="7" t="inlineStr">
        <is>
          <t>MS 1480 kl. 7.5.3</t>
        </is>
      </c>
      <c r="D727" s="7" t="inlineStr"/>
      <c r="E727" s="7" t="inlineStr"/>
      <c r="F727" t="inlineStr">
        <is>
          <t>V</t>
        </is>
      </c>
    </row>
    <row r="728">
      <c r="A728" s="7" t="inlineStr">
        <is>
          <t>V18</t>
        </is>
      </c>
      <c r="B728" s="7" t="inlineStr">
        <is>
          <t>Keberkesanan prosedur berdokumen bagi pemberitahuan dan penarikan balik dinilai (contoh: penarikan balik olok-olok atau mock recall; contoh bukti: laporan keputusan mock recall).</t>
        </is>
      </c>
      <c r="C728" s="7" t="inlineStr">
        <is>
          <t>MS 1480 kl. 7.5.4</t>
        </is>
      </c>
      <c r="D728" s="7" t="inlineStr"/>
      <c r="E728" s="7" t="inlineStr"/>
      <c r="F728" t="inlineStr">
        <is>
          <t>V</t>
        </is>
      </c>
    </row>
    <row r="729">
      <c r="A729" s="7" t="inlineStr">
        <is>
          <t>V19</t>
        </is>
      </c>
      <c r="B729" s="7" t="inlineStr">
        <is>
          <t>Prosedur berdokumen bagi kawalan peralatan dan kaedah pengukuran yang digunakan dalam pemantauan CCP serta aktiviti pengesahsahihan dan verifikasi diwujudkan dan diselenggara.</t>
        </is>
      </c>
      <c r="C729" s="7" t="inlineStr">
        <is>
          <t>MS 1480 kl. 7.6.1</t>
        </is>
      </c>
      <c r="D729" s="7" t="inlineStr"/>
      <c r="E729" s="7" t="inlineStr"/>
      <c r="F729" t="inlineStr">
        <is>
          <t>V</t>
        </is>
      </c>
    </row>
    <row r="730">
      <c r="A730" s="7" t="inlineStr">
        <is>
          <t>V20</t>
        </is>
      </c>
      <c r="B730" s="7" t="inlineStr">
        <is>
          <t>Peralatan pengukuran ditentukur atau diverifikasi pada selang masa yang ditetapkan sebelum digunakan, berbanding piawai pengukuran yang boleh dikesan kepada piawai antarabangsa atau kebangsaan (contoh bukti: sijil penentukuran).</t>
        </is>
      </c>
      <c r="C730" s="7" t="inlineStr">
        <is>
          <t>MS 1480 kl. 7.6.2</t>
        </is>
      </c>
      <c r="D730" s="7" t="inlineStr"/>
      <c r="E730" s="7" t="inlineStr"/>
      <c r="F730" t="inlineStr">
        <is>
          <t>V</t>
        </is>
      </c>
    </row>
    <row r="731">
      <c r="A731" s="7" t="inlineStr">
        <is>
          <t>V21</t>
        </is>
      </c>
      <c r="B731" s="7" t="inlineStr">
        <is>
          <t>Peralatan pengukuran dikenal pasti (contoh: label atau nombor ID) supaya status penentukurannya dapat ditentukan.</t>
        </is>
      </c>
      <c r="C731" s="7" t="inlineStr">
        <is>
          <t>MS 1480 kl. 7.6.2</t>
        </is>
      </c>
      <c r="D731" s="7" t="inlineStr"/>
      <c r="E731" s="7" t="inlineStr"/>
      <c r="F731" t="inlineStr">
        <is>
          <t>V</t>
        </is>
      </c>
    </row>
    <row r="732">
      <c r="A732" s="7" t="inlineStr">
        <is>
          <t>V22</t>
        </is>
      </c>
      <c r="B732" s="7" t="inlineStr">
        <is>
          <t>Peralatan pengukuran dilindungi daripada kerosakan dan kemerosotan (contoh: penyimpanan dan pengendalian yang sesuai).</t>
        </is>
      </c>
      <c r="C732" s="7" t="inlineStr">
        <is>
          <t>MS 1480 kl. 7.6.2</t>
        </is>
      </c>
      <c r="D732" s="7" t="inlineStr"/>
      <c r="E732" s="7" t="inlineStr"/>
      <c r="F732" t="inlineStr">
        <is>
          <t>V</t>
        </is>
      </c>
    </row>
    <row r="733">
      <c r="A733" s="7" t="inlineStr">
        <is>
          <t>V23</t>
        </is>
      </c>
      <c r="B733" s="7" t="inlineStr">
        <is>
          <t>Peralatan pengukuran dilindungi daripada pelarasan yang boleh menjejaskan kesahihan keputusan pengukuran (contoh: tetapan dikunci atau dimeterai).</t>
        </is>
      </c>
      <c r="C733" s="7" t="inlineStr">
        <is>
          <t>MS 1480 kl. 7.6.2</t>
        </is>
      </c>
      <c r="D733" s="7" t="inlineStr"/>
      <c r="E733" s="7" t="inlineStr"/>
      <c r="F733" t="inlineStr">
        <is>
          <t>V</t>
        </is>
      </c>
    </row>
    <row r="734">
      <c r="A734" s="7" t="inlineStr">
        <is>
          <t>V24</t>
        </is>
      </c>
      <c r="B734" s="7" t="inlineStr">
        <is>
          <t>Jika tiada piawai pengukuran antarabangsa atau kebangsaan, asas yang digunakan untuk penentukuran didokumenkan.</t>
        </is>
      </c>
      <c r="C734" s="7" t="inlineStr">
        <is>
          <t>MS 1480 kl. 7.6.3</t>
        </is>
      </c>
      <c r="D734" s="7" t="inlineStr"/>
      <c r="E734" s="7" t="inlineStr"/>
      <c r="F734" t="inlineStr">
        <is>
          <t>V</t>
        </is>
      </c>
    </row>
    <row r="735">
      <c r="A735" s="7" t="inlineStr">
        <is>
          <t>V25</t>
        </is>
      </c>
      <c r="B735" s="7" t="inlineStr">
        <is>
          <t>Kaedah yang digunakan bagi pemantauan, pengesahsahihan dan verifikasi CCP adalah bersesuaian dengan tujuannya (contoh: kaedah piawai atau kaedah yang telah disahsahihkan).</t>
        </is>
      </c>
      <c r="C735" s="7" t="inlineStr">
        <is>
          <t>MS 1480 kl. 7.6.4</t>
        </is>
      </c>
      <c r="D735" s="7" t="inlineStr"/>
      <c r="E735" s="7" t="inlineStr"/>
      <c r="F735" t="inlineStr">
        <is>
          <t>V</t>
        </is>
      </c>
    </row>
    <row r="736">
      <c r="A736" s="7" t="inlineStr">
        <is>
          <t>V26</t>
        </is>
      </c>
      <c r="B736" s="7" t="inlineStr">
        <is>
          <t>Kaedah pemantauan, pengesahsahihan dan verifikasi CCP memastikan keputusan yang boleh diulang dan boleh dihasilkan semula diperoleh (contoh: bukti ujian ulangan atau perbandingan keputusan).</t>
        </is>
      </c>
      <c r="C736" s="7" t="inlineStr">
        <is>
          <t>MS 1480 kl. 7.6.4</t>
        </is>
      </c>
      <c r="D736" s="7" t="inlineStr"/>
      <c r="E736" s="7" t="inlineStr"/>
      <c r="F736" t="inlineStr">
        <is>
          <t>V</t>
        </is>
      </c>
    </row>
    <row r="737">
      <c r="A737" s="7" t="inlineStr">
        <is>
          <t>V27</t>
        </is>
      </c>
      <c r="B737" s="7" t="inlineStr">
        <is>
          <t>Dokumentasi yang membuktikan kebolehpercayaan keputusan analisis tersedia (contoh: akreditasi makmal, keputusan ujian kecekapan, rekod kawalan kualiti analisis).</t>
        </is>
      </c>
      <c r="C737" s="7" t="inlineStr">
        <is>
          <t>MS 1480 kl. 7.6.4</t>
        </is>
      </c>
      <c r="D737" s="7" t="inlineStr"/>
      <c r="E737" s="7" t="inlineStr"/>
      <c r="F737" t="inlineStr">
        <is>
          <t>V</t>
        </is>
      </c>
    </row>
    <row r="738">
      <c r="A738" s="7" t="inlineStr">
        <is>
          <t>V28</t>
        </is>
      </c>
      <c r="B738" s="7" t="inlineStr">
        <is>
          <t>Apabila peralatan atau persekitaran proses didapati tidak memenuhi keperluan, kesahihan keputusan pengukuran terdahulu dinilai (contoh bukti: rekod penilaian).</t>
        </is>
      </c>
      <c r="C738" s="7" t="inlineStr">
        <is>
          <t>MS 1480 kl. 7.6.5</t>
        </is>
      </c>
      <c r="D738" s="7" t="inlineStr"/>
      <c r="E738" s="7" t="inlineStr"/>
      <c r="F738" t="inlineStr">
        <is>
          <t>V</t>
        </is>
      </c>
    </row>
    <row r="739">
      <c r="A739" s="7" t="inlineStr">
        <is>
          <t>V29</t>
        </is>
      </c>
      <c r="B739" s="7" t="inlineStr">
        <is>
          <t>Tindakan sewajarnya diambil ke atas persekitaran proses dan mana-mana produk yang terjejas (contoh bukti: rekod tindakan).</t>
        </is>
      </c>
      <c r="C739" s="7" t="inlineStr">
        <is>
          <t>MS 1480 kl. 7.6.5</t>
        </is>
      </c>
      <c r="D739" s="7" t="inlineStr"/>
      <c r="E739" s="7" t="inlineStr"/>
      <c r="F739" t="inlineStr">
        <is>
          <t>V</t>
        </is>
      </c>
    </row>
    <row r="740">
      <c r="A740" s="7" t="inlineStr">
        <is>
          <t>V30</t>
        </is>
      </c>
      <c r="B740" s="7" t="inlineStr">
        <is>
          <t>Perisian yang digunakan untuk pemantauan dan pengukuran dalam sistem HACCP disahsahihkan oleh organisasi, pembekal perisian atau pihak ketiga sebelum digunakan, dan maklumat berdokumen tentang aktiviti pengesahsahihan disimpan oleh organisasi.</t>
        </is>
      </c>
      <c r="C740" s="7" t="inlineStr">
        <is>
          <t>MS 1480 kl. 7.6.6</t>
        </is>
      </c>
      <c r="D740" s="7" t="inlineStr"/>
      <c r="E740" s="7" t="inlineStr"/>
      <c r="F740" t="inlineStr">
        <is>
          <t>V</t>
        </is>
      </c>
    </row>
    <row r="741">
      <c r="A741" s="7" t="inlineStr">
        <is>
          <t>V31</t>
        </is>
      </c>
      <c r="B741" s="7" t="inlineStr">
        <is>
          <t>Perisian pemantauan dan pengukuran dikemas kini tepat pada masanya (contoh: rekod versi dan tarikh kemas kini).</t>
        </is>
      </c>
      <c r="C741" s="7" t="inlineStr">
        <is>
          <t>MS 1480 kl. 7.6.6</t>
        </is>
      </c>
      <c r="D741" s="7" t="inlineStr"/>
      <c r="E741" s="7" t="inlineStr"/>
      <c r="F741" t="inlineStr">
        <is>
          <t>V</t>
        </is>
      </c>
    </row>
    <row r="742">
      <c r="A742" s="7" t="inlineStr">
        <is>
          <t>V32</t>
        </is>
      </c>
      <c r="B742" s="7" t="inlineStr">
        <is>
          <t>Sebarang perubahan, termasuk konfigurasi atau pengubahsuaian perisian komersial sedia ada (COTS), dibenarkan, didokumenkan dan disahsahihkan sebelum dilaksanakan.</t>
        </is>
      </c>
      <c r="C742" s="7" t="inlineStr">
        <is>
          <t>MS 1480 kl. 7.6.7</t>
        </is>
      </c>
      <c r="D742" s="7" t="inlineStr"/>
      <c r="E742" s="7" t="inlineStr"/>
      <c r="F742" t="inlineStr">
        <is>
          <t>V</t>
        </is>
      </c>
    </row>
    <row r="743">
      <c r="A743" s="7" t="inlineStr">
        <is>
          <t>V33</t>
        </is>
      </c>
      <c r="B743" s="7" t="inlineStr">
        <is>
          <t>Aktiviti verifikasi berjadual benar-benar dijalankan secara tetap, dan pemantauan, penyimpanan rekod serta tindakan pembetulan dilaksanakan secara berterusan seperti yang diterangkan dalam pelan HACCP (semak rekod terkini berbanding jadual).</t>
        </is>
      </c>
      <c r="C743" s="7" t="inlineStr">
        <is>
          <t>MS 1480 kl. 7.7</t>
        </is>
      </c>
      <c r="D743" s="7" t="inlineStr"/>
      <c r="E743" s="7" t="inlineStr"/>
      <c r="F743" t="inlineStr">
        <is>
          <t>V</t>
        </is>
      </c>
    </row>
    <row r="744">
      <c r="A744" s="7" t="inlineStr">
        <is>
          <t>V34</t>
        </is>
      </c>
      <c r="B744" s="7" t="inlineStr">
        <is>
          <t>Terdapat bukti sistem HACCP kekal berkesan dan ditambah baik secara berterusan, contohnya tindakan penambahbaikan hasil daripada keputusan verifikasi dan audit, kaedah pemantauan dan peralatan pengukuran, ketidakakuran dan tindakan pembetulan, output kajian semula pengurusan, kawalan rakan rantaian bekalan (contoh: pengangkut, gudang pihak ketiga) dan maklum balas pelanggan, pembekal atau agensi kawal selia.</t>
        </is>
      </c>
      <c r="C744" s="7" t="inlineStr">
        <is>
          <t>MS 1480 kl. 7.8</t>
        </is>
      </c>
      <c r="D744" s="7" t="inlineStr"/>
      <c r="E744" s="7" t="inlineStr"/>
      <c r="F744" t="inlineStr">
        <is>
          <t>V</t>
        </is>
      </c>
    </row>
  </sheetData>
  <mergeCells count="45">
    <mergeCell ref="A83:E83"/>
    <mergeCell ref="A276:E276"/>
    <mergeCell ref="A521:E521"/>
    <mergeCell ref="A710:E710"/>
    <mergeCell ref="A368:E368"/>
    <mergeCell ref="A98:E98"/>
    <mergeCell ref="A191:E191"/>
    <mergeCell ref="A207:E207"/>
    <mergeCell ref="A520:E520"/>
    <mergeCell ref="A6:E6"/>
    <mergeCell ref="A146:E146"/>
    <mergeCell ref="A172:E172"/>
    <mergeCell ref="A7:E7"/>
    <mergeCell ref="A572:E572"/>
    <mergeCell ref="A419:E419"/>
    <mergeCell ref="A277:E277"/>
    <mergeCell ref="A84:E84"/>
    <mergeCell ref="A626:E626"/>
    <mergeCell ref="A264:E264"/>
    <mergeCell ref="A236:E236"/>
    <mergeCell ref="A369:E369"/>
    <mergeCell ref="A571:E571"/>
    <mergeCell ref="A418:E418"/>
    <mergeCell ref="A3:E3"/>
    <mergeCell ref="A192:E192"/>
    <mergeCell ref="A127:E127"/>
    <mergeCell ref="A543:E543"/>
    <mergeCell ref="A235:E235"/>
    <mergeCell ref="A33:E33"/>
    <mergeCell ref="A298:E298"/>
    <mergeCell ref="A483:E483"/>
    <mergeCell ref="A32:E32"/>
    <mergeCell ref="A97:E97"/>
    <mergeCell ref="A206:E206"/>
    <mergeCell ref="A126:E126"/>
    <mergeCell ref="A62:E62"/>
    <mergeCell ref="A265:E265"/>
    <mergeCell ref="A147:E147"/>
    <mergeCell ref="A482:E482"/>
    <mergeCell ref="A709:E709"/>
    <mergeCell ref="A63:E63"/>
    <mergeCell ref="A299:E299"/>
    <mergeCell ref="A544:E544"/>
    <mergeCell ref="A173:E173"/>
    <mergeCell ref="A627:E627"/>
  </mergeCells>
  <conditionalFormatting sqref="D6:D744">
    <cfRule type="cellIs" priority="1" operator="equal" dxfId="0">
      <formula>"Tidak"</formula>
    </cfRule>
    <cfRule type="cellIs" priority="2" operator="equal" dxfId="1">
      <formula>"Ya"</formula>
    </cfRule>
  </conditionalFormatting>
  <dataValidations count="1">
    <dataValidation sqref="D8 D9 D10 D11 D12 D13 D14 D15 D16 D17 D18 D19 D20 D21 D22 D23 D24 D25 D26 D27 D28 D29 D30 D31 D34 D35 D36 D37 D38 D39 D40 D41 D42 D43 D44 D45 D46 D47 D48 D49 D50 D51 D52 D53 D54 D55 D56 D57 D58 D59 D60 D61 D64 D65 D66 D67 D68 D69 D70 D71 D72 D73 D74 D75 D76 D77 D78 D79 D80 D81 D82 D85 D86 D87 D88 D89 D90 D91 D92 D93 D94 D95 D96 D99 D100 D101 D102 D103 D104 D105 D106 D107 D108 D109 D110 D111 D112 D113 D114 D115 D116 D117 D118 D119 D120 D121 D122 D123 D124 D125 D128 D129 D130 D131 D132 D133 D134 D135 D136 D137 D138 D139 D140 D141 D142 D143 D144 D145 D148 D149 D150 D151 D152 D153 D154 D155 D156 D157 D158 D159 D160 D161 D162 D163 D164 D165 D166 D167 D168 D169 D170 D171 D174 D175 D176 D177 D178 D179 D180 D181 D182 D183 D184 D185 D186 D187 D188 D189 D190 D193 D194 D195 D196 D197 D198 D199 D200 D201 D202 D203 D204 D205 D208 D209 D210 D211 D212 D213 D214 D215 D216 D217 D218 D219 D220 D221 D222 D223 D224 D225 D226 D227 D228 D229 D230 D231 D232 D233 D234 D237 D238 D239 D240 D241 D242 D243 D244 D245 D246 D247 D248 D249 D250 D251 D252 D253 D254 D255 D256 D257 D258 D259 D260 D261 D262 D263 D266 D267 D268 D269 D270 D271 D272 D273 D274 D275 D278 D279 D280 D281 D282 D283 D284 D285 D286 D287 D288 D289 D290 D291 D292 D293 D294 D295 D296 D297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70 D371 D372 D373 D374 D375 D376 D377 D378 D379 D380 D381 D382 D383 D384 D385 D386 D387 D388 D389 D390 D391 D392 D393 D394 D395 D396 D397 D398 D399 D400 D401 D402 D403 D404 D405 D406 D407 D408 D409 D410 D411 D412 D413 D414 D415 D416 D417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4 D485 D486 D487 D488 D489 D490 D491 D492 D493 D494 D495 D496 D497 D498 D499 D500 D501 D502 D503 D504 D505 D506 D507 D508 D509 D510 D511 D512 D513 D514 D515 D516 D517 D518 D519 D522 D523 D524 D525 D526 D527 D528 D529 D530 D531 D532 D533 D534 D535 D536 D537 D538 D539 D540 D541 D542 D545 D546 D547 D548 D549 D550 D551 D552 D553 D554 D555 D556 D557 D558 D559 D560 D561 D562 D563 D564 D565 D566 D567 D568 D569 D570 D573 D574 D575 D576 D577 D578 D579 D580 D581 D582 D583 D584 D585 D586 D587 D588 D589 D590 D591 D592 D593 D594 D595 D596 D597 D598 D599 D600 D601 D602 D603 D604 D605 D606 D607 D608 D609 D610 D611 D612 D613 D614 D615 D616 D617 D618 D619 D620 D621 D622 D623 D624 D625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11 D712 D713 D714 D715 D716 D717 D718 D719 D720 D721 D722 D723 D724 D725 D726 D727 D728 D729 D730 D731 D732 D733 D734 D735 D736 D737 D738 D739 D740 D741 D742 D743 D744" showDropDown="0" showInputMessage="0" showErrorMessage="0" allowBlank="1" type="list">
      <formula1>"Ya,Tidak,TB"</formula1>
    </dataValidation>
  </dataValidations>
  <pageMargins left="0.75" right="0.75" top="1" bottom="1" header="0.5" footer="0.5"/>
  <pageSetup orientation="landscape" paperSize="9" fitToHeight="0" fitToWidth="1"/>
  <headerFooter>
    <oddHeader/>
    <oddFooter>&amp;CMuka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26"/>
  <sheetViews>
    <sheetView workbookViewId="0">
      <selection activeCell="A1" sqref="A1"/>
    </sheetView>
  </sheetViews>
  <sheetFormatPr baseColWidth="8" defaultRowHeight="15"/>
  <cols>
    <col width="56" customWidth="1" min="1" max="1"/>
    <col width="8" customWidth="1" min="2" max="2"/>
    <col width="8" customWidth="1" min="3" max="3"/>
    <col width="8" customWidth="1" min="4" max="4"/>
    <col width="8" customWidth="1" min="5" max="5"/>
    <col width="12" customWidth="1" min="6" max="6"/>
    <col width="24" customWidth="1" min="7" max="7"/>
  </cols>
  <sheetData>
    <row r="1">
      <c r="A1" s="8" t="inlineStr">
        <is>
          <t>Ringkasan keputusan: Skim Produk Makanan dan Minuman</t>
        </is>
      </c>
    </row>
    <row r="3">
      <c r="A3" s="9" t="inlineStr">
        <is>
          <t>Bahagian</t>
        </is>
      </c>
      <c r="B3" s="9" t="inlineStr">
        <is>
          <t>Item</t>
        </is>
      </c>
      <c r="C3" s="9" t="inlineStr">
        <is>
          <t>Ya</t>
        </is>
      </c>
      <c r="D3" s="9" t="inlineStr">
        <is>
          <t>Tidak</t>
        </is>
      </c>
      <c r="E3" s="9" t="inlineStr">
        <is>
          <t>TB</t>
        </is>
      </c>
      <c r="F3" s="9" t="inlineStr">
        <is>
          <t>Belum diisi</t>
        </is>
      </c>
      <c r="G3" s="9" t="inlineStr">
        <is>
          <t>% patuh (Ya / (Ya+Tidak))</t>
        </is>
      </c>
    </row>
    <row r="4">
      <c r="A4" t="inlineStr">
        <is>
          <t>A: Kelayakan, Lesen &amp; Skop Permohonan</t>
        </is>
      </c>
      <c r="B4" t="n">
        <v>24</v>
      </c>
      <c r="C4">
        <f>COUNTIFS('Senarai Semak'!$F$6:$F$744,"A",'Senarai Semak'!$D$6:$D$744,"Ya")</f>
        <v/>
      </c>
      <c r="D4">
        <f>COUNTIFS('Senarai Semak'!$F$6:$F$744,"A",'Senarai Semak'!$D$6:$D$744,"Tidak")</f>
        <v/>
      </c>
      <c r="E4">
        <f>COUNTIFS('Senarai Semak'!$F$6:$F$744,"A",'Senarai Semak'!$D$6:$D$744,"TB")</f>
        <v/>
      </c>
      <c r="F4">
        <f>B4-C4-D4-E4</f>
        <v/>
      </c>
      <c r="G4" s="10">
        <f>IF(C4+D4=0,"",C4/(C4+D4))</f>
        <v/>
      </c>
    </row>
    <row r="5">
      <c r="A5" t="inlineStr">
        <is>
          <t>B: Pengurusan Halal &amp; MHMS mengikut Saiz Industri</t>
        </is>
      </c>
      <c r="B5" t="n">
        <v>28</v>
      </c>
      <c r="C5">
        <f>COUNTIFS('Senarai Semak'!$F$6:$F$744,"B",'Senarai Semak'!$D$6:$D$744,"Ya")</f>
        <v/>
      </c>
      <c r="D5">
        <f>COUNTIFS('Senarai Semak'!$F$6:$F$744,"B",'Senarai Semak'!$D$6:$D$744,"Tidak")</f>
        <v/>
      </c>
      <c r="E5">
        <f>COUNTIFS('Senarai Semak'!$F$6:$F$744,"B",'Senarai Semak'!$D$6:$D$744,"TB")</f>
        <v/>
      </c>
      <c r="F5">
        <f>B5-C5-D5-E5</f>
        <v/>
      </c>
      <c r="G5" s="10">
        <f>IF(C5+D5=0,"",C5/(C5+D5))</f>
        <v/>
      </c>
    </row>
    <row r="6">
      <c r="A6" t="inlineStr">
        <is>
          <t>C: Premis, Struktur &amp; Persekitaran</t>
        </is>
      </c>
      <c r="B6" t="n">
        <v>19</v>
      </c>
      <c r="C6">
        <f>COUNTIFS('Senarai Semak'!$F$6:$F$744,"C",'Senarai Semak'!$D$6:$D$744,"Ya")</f>
        <v/>
      </c>
      <c r="D6">
        <f>COUNTIFS('Senarai Semak'!$F$6:$F$744,"C",'Senarai Semak'!$D$6:$D$744,"Tidak")</f>
        <v/>
      </c>
      <c r="E6">
        <f>COUNTIFS('Senarai Semak'!$F$6:$F$744,"C",'Senarai Semak'!$D$6:$D$744,"TB")</f>
        <v/>
      </c>
      <c r="F6">
        <f>B6-C6-D6-E6</f>
        <v/>
      </c>
      <c r="G6" s="10">
        <f>IF(C6+D6=0,"",C6/(C6+D6))</f>
        <v/>
      </c>
    </row>
    <row r="7">
      <c r="A7" t="inlineStr">
        <is>
          <t>D: Air, Ais &amp; Wap</t>
        </is>
      </c>
      <c r="B7" t="n">
        <v>12</v>
      </c>
      <c r="C7">
        <f>COUNTIFS('Senarai Semak'!$F$6:$F$744,"D",'Senarai Semak'!$D$6:$D$744,"Ya")</f>
        <v/>
      </c>
      <c r="D7">
        <f>COUNTIFS('Senarai Semak'!$F$6:$F$744,"D",'Senarai Semak'!$D$6:$D$744,"Tidak")</f>
        <v/>
      </c>
      <c r="E7">
        <f>COUNTIFS('Senarai Semak'!$F$6:$F$744,"D",'Senarai Semak'!$D$6:$D$744,"TB")</f>
        <v/>
      </c>
      <c r="F7">
        <f>B7-C7-D7-E7</f>
        <v/>
      </c>
      <c r="G7" s="10">
        <f>IF(C7+D7=0,"",C7/(C7+D7))</f>
        <v/>
      </c>
    </row>
    <row r="8">
      <c r="A8" t="inlineStr">
        <is>
          <t>E: Bahan Mentah, Bahan Kritikal &amp; Pembekal</t>
        </is>
      </c>
      <c r="B8" t="n">
        <v>27</v>
      </c>
      <c r="C8">
        <f>COUNTIFS('Senarai Semak'!$F$6:$F$744,"E",'Senarai Semak'!$D$6:$D$744,"Ya")</f>
        <v/>
      </c>
      <c r="D8">
        <f>COUNTIFS('Senarai Semak'!$F$6:$F$744,"E",'Senarai Semak'!$D$6:$D$744,"Tidak")</f>
        <v/>
      </c>
      <c r="E8">
        <f>COUNTIFS('Senarai Semak'!$F$6:$F$744,"E",'Senarai Semak'!$D$6:$D$744,"TB")</f>
        <v/>
      </c>
      <c r="F8">
        <f>B8-C8-D8-E8</f>
        <v/>
      </c>
      <c r="G8" s="10">
        <f>IF(C8+D8=0,"",C8/(C8+D8))</f>
        <v/>
      </c>
    </row>
    <row r="9">
      <c r="A9" t="inlineStr">
        <is>
          <t>F: Penyimpanan</t>
        </is>
      </c>
      <c r="B9" t="n">
        <v>18</v>
      </c>
      <c r="C9">
        <f>COUNTIFS('Senarai Semak'!$F$6:$F$744,"F",'Senarai Semak'!$D$6:$D$744,"Ya")</f>
        <v/>
      </c>
      <c r="D9">
        <f>COUNTIFS('Senarai Semak'!$F$6:$F$744,"F",'Senarai Semak'!$D$6:$D$744,"Tidak")</f>
        <v/>
      </c>
      <c r="E9">
        <f>COUNTIFS('Senarai Semak'!$F$6:$F$744,"F",'Senarai Semak'!$D$6:$D$744,"TB")</f>
        <v/>
      </c>
      <c r="F9">
        <f>B9-C9-D9-E9</f>
        <v/>
      </c>
      <c r="G9" s="10">
        <f>IF(C9+D9=0,"",C9/(C9+D9))</f>
        <v/>
      </c>
    </row>
    <row r="10">
      <c r="A10" t="inlineStr">
        <is>
          <t>G: Pemprosesan, Pengeluaran &amp; R&amp;D</t>
        </is>
      </c>
      <c r="B10" t="n">
        <v>24</v>
      </c>
      <c r="C10">
        <f>COUNTIFS('Senarai Semak'!$F$6:$F$744,"G",'Senarai Semak'!$D$6:$D$744,"Ya")</f>
        <v/>
      </c>
      <c r="D10">
        <f>COUNTIFS('Senarai Semak'!$F$6:$F$744,"G",'Senarai Semak'!$D$6:$D$744,"Tidak")</f>
        <v/>
      </c>
      <c r="E10">
        <f>COUNTIFS('Senarai Semak'!$F$6:$F$744,"G",'Senarai Semak'!$D$6:$D$744,"TB")</f>
        <v/>
      </c>
      <c r="F10">
        <f>B10-C10-D10-E10</f>
        <v/>
      </c>
      <c r="G10" s="10">
        <f>IF(C10+D10=0,"",C10/(C10+D10))</f>
        <v/>
      </c>
    </row>
    <row r="11">
      <c r="A11" t="inlineStr">
        <is>
          <t>H: Peralatan, Mesin &amp; Pelincir</t>
        </is>
      </c>
      <c r="B11" t="n">
        <v>17</v>
      </c>
      <c r="C11">
        <f>COUNTIFS('Senarai Semak'!$F$6:$F$744,"H",'Senarai Semak'!$D$6:$D$744,"Ya")</f>
        <v/>
      </c>
      <c r="D11">
        <f>COUNTIFS('Senarai Semak'!$F$6:$F$744,"H",'Senarai Semak'!$D$6:$D$744,"Tidak")</f>
        <v/>
      </c>
      <c r="E11">
        <f>COUNTIFS('Senarai Semak'!$F$6:$F$744,"H",'Senarai Semak'!$D$6:$D$744,"TB")</f>
        <v/>
      </c>
      <c r="F11">
        <f>B11-C11-D11-E11</f>
        <v/>
      </c>
      <c r="G11" s="10">
        <f>IF(C11+D11=0,"",C11/(C11+D11))</f>
        <v/>
      </c>
    </row>
    <row r="12">
      <c r="A12" t="inlineStr">
        <is>
          <t>I: Kebersihan, Sanitasi, Kawalan Perosak &amp; Sisa</t>
        </is>
      </c>
      <c r="B12" t="n">
        <v>13</v>
      </c>
      <c r="C12">
        <f>COUNTIFS('Senarai Semak'!$F$6:$F$744,"I",'Senarai Semak'!$D$6:$D$744,"Ya")</f>
        <v/>
      </c>
      <c r="D12">
        <f>COUNTIFS('Senarai Semak'!$F$6:$F$744,"I",'Senarai Semak'!$D$6:$D$744,"Tidak")</f>
        <v/>
      </c>
      <c r="E12">
        <f>COUNTIFS('Senarai Semak'!$F$6:$F$744,"I",'Senarai Semak'!$D$6:$D$744,"TB")</f>
        <v/>
      </c>
      <c r="F12">
        <f>B12-C12-D12-E12</f>
        <v/>
      </c>
      <c r="G12" s="10">
        <f>IF(C12+D12=0,"",C12/(C12+D12))</f>
        <v/>
      </c>
    </row>
    <row r="13">
      <c r="A13" t="inlineStr">
        <is>
          <t>J: Pekerja, Pengendali Makanan, Latihan &amp; Kemudahan</t>
        </is>
      </c>
      <c r="B13" t="n">
        <v>27</v>
      </c>
      <c r="C13">
        <f>COUNTIFS('Senarai Semak'!$F$6:$F$744,"J",'Senarai Semak'!$D$6:$D$744,"Ya")</f>
        <v/>
      </c>
      <c r="D13">
        <f>COUNTIFS('Senarai Semak'!$F$6:$F$744,"J",'Senarai Semak'!$D$6:$D$744,"Tidak")</f>
        <v/>
      </c>
      <c r="E13">
        <f>COUNTIFS('Senarai Semak'!$F$6:$F$744,"J",'Senarai Semak'!$D$6:$D$744,"TB")</f>
        <v/>
      </c>
      <c r="F13">
        <f>B13-C13-D13-E13</f>
        <v/>
      </c>
      <c r="G13" s="10">
        <f>IF(C13+D13=0,"",C13/(C13+D13))</f>
        <v/>
      </c>
    </row>
    <row r="14">
      <c r="A14" t="inlineStr">
        <is>
          <t>K: Pembungkusan, Pelabelan, Logo &amp; Sijil Halal</t>
        </is>
      </c>
      <c r="B14" t="n">
        <v>27</v>
      </c>
      <c r="C14">
        <f>COUNTIFS('Senarai Semak'!$F$6:$F$744,"K",'Senarai Semak'!$D$6:$D$744,"Ya")</f>
        <v/>
      </c>
      <c r="D14">
        <f>COUNTIFS('Senarai Semak'!$F$6:$F$744,"K",'Senarai Semak'!$D$6:$D$744,"Tidak")</f>
        <v/>
      </c>
      <c r="E14">
        <f>COUNTIFS('Senarai Semak'!$F$6:$F$744,"K",'Senarai Semak'!$D$6:$D$744,"TB")</f>
        <v/>
      </c>
      <c r="F14">
        <f>B14-C14-D14-E14</f>
        <v/>
      </c>
      <c r="G14" s="10">
        <f>IF(C14+D14=0,"",C14/(C14+D14))</f>
        <v/>
      </c>
    </row>
    <row r="15">
      <c r="A15" t="inlineStr">
        <is>
          <t>L: Pengangkutan &amp; Pengedaran</t>
        </is>
      </c>
      <c r="B15" t="n">
        <v>10</v>
      </c>
      <c r="C15">
        <f>COUNTIFS('Senarai Semak'!$F$6:$F$744,"L",'Senarai Semak'!$D$6:$D$744,"Ya")</f>
        <v/>
      </c>
      <c r="D15">
        <f>COUNTIFS('Senarai Semak'!$F$6:$F$744,"L",'Senarai Semak'!$D$6:$D$744,"Tidak")</f>
        <v/>
      </c>
      <c r="E15">
        <f>COUNTIFS('Senarai Semak'!$F$6:$F$744,"L",'Senarai Semak'!$D$6:$D$744,"TB")</f>
        <v/>
      </c>
      <c r="F15">
        <f>B15-C15-D15-E15</f>
        <v/>
      </c>
      <c r="G15" s="10">
        <f>IF(C15+D15=0,"",C15/(C15+D15))</f>
        <v/>
      </c>
    </row>
    <row r="16">
      <c r="A16" t="inlineStr">
        <is>
          <t>M: Kebolehkesanan, Analisis Makmal, Dokumentasi &amp; Rekod</t>
        </is>
      </c>
      <c r="B16" t="n">
        <v>20</v>
      </c>
      <c r="C16">
        <f>COUNTIFS('Senarai Semak'!$F$6:$F$744,"M",'Senarai Semak'!$D$6:$D$744,"Ya")</f>
        <v/>
      </c>
      <c r="D16">
        <f>COUNTIFS('Senarai Semak'!$F$6:$F$744,"M",'Senarai Semak'!$D$6:$D$744,"Tidak")</f>
        <v/>
      </c>
      <c r="E16">
        <f>COUNTIFS('Senarai Semak'!$F$6:$F$744,"M",'Senarai Semak'!$D$6:$D$744,"TB")</f>
        <v/>
      </c>
      <c r="F16">
        <f>B16-C16-D16-E16</f>
        <v/>
      </c>
      <c r="G16" s="10">
        <f>IF(C16+D16=0,"",C16/(C16+D16))</f>
        <v/>
      </c>
    </row>
    <row r="17">
      <c r="A17" t="inlineStr">
        <is>
          <t>N: GMP MS 1514: Reka bentuk dan kemudahan</t>
        </is>
      </c>
      <c r="B17" t="n">
        <v>68</v>
      </c>
      <c r="C17">
        <f>COUNTIFS('Senarai Semak'!$F$6:$F$744,"N",'Senarai Semak'!$D$6:$D$744,"Ya")</f>
        <v/>
      </c>
      <c r="D17">
        <f>COUNTIFS('Senarai Semak'!$F$6:$F$744,"N",'Senarai Semak'!$D$6:$D$744,"Tidak")</f>
        <v/>
      </c>
      <c r="E17">
        <f>COUNTIFS('Senarai Semak'!$F$6:$F$744,"N",'Senarai Semak'!$D$6:$D$744,"TB")</f>
        <v/>
      </c>
      <c r="F17">
        <f>B17-C17-D17-E17</f>
        <v/>
      </c>
      <c r="G17" s="10">
        <f>IF(C17+D17=0,"",C17/(C17+D17))</f>
        <v/>
      </c>
    </row>
    <row r="18">
      <c r="A18" t="inlineStr">
        <is>
          <t>O: GMP MS 1514: Kawalan operasi</t>
        </is>
      </c>
      <c r="B18" t="n">
        <v>48</v>
      </c>
      <c r="C18">
        <f>COUNTIFS('Senarai Semak'!$F$6:$F$744,"O",'Senarai Semak'!$D$6:$D$744,"Ya")</f>
        <v/>
      </c>
      <c r="D18">
        <f>COUNTIFS('Senarai Semak'!$F$6:$F$744,"O",'Senarai Semak'!$D$6:$D$744,"Tidak")</f>
        <v/>
      </c>
      <c r="E18">
        <f>COUNTIFS('Senarai Semak'!$F$6:$F$744,"O",'Senarai Semak'!$D$6:$D$744,"TB")</f>
        <v/>
      </c>
      <c r="F18">
        <f>B18-C18-D18-E18</f>
        <v/>
      </c>
      <c r="G18" s="10">
        <f>IF(C18+D18=0,"",C18/(C18+D18))</f>
        <v/>
      </c>
    </row>
    <row r="19">
      <c r="A19" t="inlineStr">
        <is>
          <t>P: GMP MS 1514: Penyelenggaraan, pembersihan dan sanitasi</t>
        </is>
      </c>
      <c r="B19" t="n">
        <v>62</v>
      </c>
      <c r="C19">
        <f>COUNTIFS('Senarai Semak'!$F$6:$F$744,"P",'Senarai Semak'!$D$6:$D$744,"Ya")</f>
        <v/>
      </c>
      <c r="D19">
        <f>COUNTIFS('Senarai Semak'!$F$6:$F$744,"P",'Senarai Semak'!$D$6:$D$744,"Tidak")</f>
        <v/>
      </c>
      <c r="E19">
        <f>COUNTIFS('Senarai Semak'!$F$6:$F$744,"P",'Senarai Semak'!$D$6:$D$744,"TB")</f>
        <v/>
      </c>
      <c r="F19">
        <f>B19-C19-D19-E19</f>
        <v/>
      </c>
      <c r="G19" s="10">
        <f>IF(C19+D19=0,"",C19/(C19+D19))</f>
        <v/>
      </c>
    </row>
    <row r="20">
      <c r="A20" t="inlineStr">
        <is>
          <t>Q: GMP MS 1514: Kebersihan diri dan latihan</t>
        </is>
      </c>
      <c r="B20" t="n">
        <v>36</v>
      </c>
      <c r="C20">
        <f>COUNTIFS('Senarai Semak'!$F$6:$F$744,"Q",'Senarai Semak'!$D$6:$D$744,"Ya")</f>
        <v/>
      </c>
      <c r="D20">
        <f>COUNTIFS('Senarai Semak'!$F$6:$F$744,"Q",'Senarai Semak'!$D$6:$D$744,"Tidak")</f>
        <v/>
      </c>
      <c r="E20">
        <f>COUNTIFS('Senarai Semak'!$F$6:$F$744,"Q",'Senarai Semak'!$D$6:$D$744,"TB")</f>
        <v/>
      </c>
      <c r="F20">
        <f>B20-C20-D20-E20</f>
        <v/>
      </c>
      <c r="G20" s="10">
        <f>IF(C20+D20=0,"",C20/(C20+D20))</f>
        <v/>
      </c>
    </row>
    <row r="21">
      <c r="A21" t="inlineStr">
        <is>
          <t>R: GMP MS 1514: Maklumat produk, kebolehkesanan dan pengangkutan</t>
        </is>
      </c>
      <c r="B21" t="n">
        <v>21</v>
      </c>
      <c r="C21">
        <f>COUNTIFS('Senarai Semak'!$F$6:$F$744,"R",'Senarai Semak'!$D$6:$D$744,"Ya")</f>
        <v/>
      </c>
      <c r="D21">
        <f>COUNTIFS('Senarai Semak'!$F$6:$F$744,"R",'Senarai Semak'!$D$6:$D$744,"Tidak")</f>
        <v/>
      </c>
      <c r="E21">
        <f>COUNTIFS('Senarai Semak'!$F$6:$F$744,"R",'Senarai Semak'!$D$6:$D$744,"TB")</f>
        <v/>
      </c>
      <c r="F21">
        <f>B21-C21-D21-E21</f>
        <v/>
      </c>
      <c r="G21" s="10">
        <f>IF(C21+D21=0,"",C21/(C21+D21))</f>
        <v/>
      </c>
    </row>
    <row r="22">
      <c r="A22" t="inlineStr">
        <is>
          <t>S: GMP MS 1514: Pemeriksaan dalaman, kajian semula, dokumentasi dan perundangan</t>
        </is>
      </c>
      <c r="B22" t="n">
        <v>26</v>
      </c>
      <c r="C22">
        <f>COUNTIFS('Senarai Semak'!$F$6:$F$744,"S",'Senarai Semak'!$D$6:$D$744,"Ya")</f>
        <v/>
      </c>
      <c r="D22">
        <f>COUNTIFS('Senarai Semak'!$F$6:$F$744,"S",'Senarai Semak'!$D$6:$D$744,"Tidak")</f>
        <v/>
      </c>
      <c r="E22">
        <f>COUNTIFS('Senarai Semak'!$F$6:$F$744,"S",'Senarai Semak'!$D$6:$D$744,"TB")</f>
        <v/>
      </c>
      <c r="F22">
        <f>B22-C22-D22-E22</f>
        <v/>
      </c>
      <c r="G22" s="10">
        <f>IF(C22+D22=0,"",C22/(C22+D22))</f>
        <v/>
      </c>
    </row>
    <row r="23">
      <c r="A23" t="inlineStr">
        <is>
          <t>T: HACCP MS 1480: Keperluan am dan program prasyarat</t>
        </is>
      </c>
      <c r="B23" t="n">
        <v>53</v>
      </c>
      <c r="C23">
        <f>COUNTIFS('Senarai Semak'!$F$6:$F$744,"T",'Senarai Semak'!$D$6:$D$744,"Ya")</f>
        <v/>
      </c>
      <c r="D23">
        <f>COUNTIFS('Senarai Semak'!$F$6:$F$744,"T",'Senarai Semak'!$D$6:$D$744,"Tidak")</f>
        <v/>
      </c>
      <c r="E23">
        <f>COUNTIFS('Senarai Semak'!$F$6:$F$744,"T",'Senarai Semak'!$D$6:$D$744,"TB")</f>
        <v/>
      </c>
      <c r="F23">
        <f>B23-C23-D23-E23</f>
        <v/>
      </c>
      <c r="G23" s="10">
        <f>IF(C23+D23=0,"",C23/(C23+D23))</f>
        <v/>
      </c>
    </row>
    <row r="24">
      <c r="A24" t="inlineStr">
        <is>
          <t>U: HACCP MS 1480: Keperluan sistem HACCP</t>
        </is>
      </c>
      <c r="B24" t="n">
        <v>81</v>
      </c>
      <c r="C24">
        <f>COUNTIFS('Senarai Semak'!$F$6:$F$744,"U",'Senarai Semak'!$D$6:$D$744,"Ya")</f>
        <v/>
      </c>
      <c r="D24">
        <f>COUNTIFS('Senarai Semak'!$F$6:$F$744,"U",'Senarai Semak'!$D$6:$D$744,"Tidak")</f>
        <v/>
      </c>
      <c r="E24">
        <f>COUNTIFS('Senarai Semak'!$F$6:$F$744,"U",'Senarai Semak'!$D$6:$D$744,"TB")</f>
        <v/>
      </c>
      <c r="F24">
        <f>B24-C24-D24-E24</f>
        <v/>
      </c>
      <c r="G24" s="10">
        <f>IF(C24+D24=0,"",C24/(C24+D24))</f>
        <v/>
      </c>
    </row>
    <row r="25">
      <c r="A25" t="inlineStr">
        <is>
          <t>V: HACCP MS 1480: Operasi, penyelenggaraan dan penambahbaikan sistem</t>
        </is>
      </c>
      <c r="B25" t="n">
        <v>34</v>
      </c>
      <c r="C25">
        <f>COUNTIFS('Senarai Semak'!$F$6:$F$744,"V",'Senarai Semak'!$D$6:$D$744,"Ya")</f>
        <v/>
      </c>
      <c r="D25">
        <f>COUNTIFS('Senarai Semak'!$F$6:$F$744,"V",'Senarai Semak'!$D$6:$D$744,"Tidak")</f>
        <v/>
      </c>
      <c r="E25">
        <f>COUNTIFS('Senarai Semak'!$F$6:$F$744,"V",'Senarai Semak'!$D$6:$D$744,"TB")</f>
        <v/>
      </c>
      <c r="F25">
        <f>B25-C25-D25-E25</f>
        <v/>
      </c>
      <c r="G25" s="10">
        <f>IF(C25+D25=0,"",C25/(C25+D25))</f>
        <v/>
      </c>
    </row>
    <row r="26">
      <c r="A26" s="11" t="inlineStr">
        <is>
          <t>Jumlah</t>
        </is>
      </c>
      <c r="B26" s="11">
        <f>SUM(B4:B25)</f>
        <v/>
      </c>
      <c r="C26" s="11">
        <f>SUM(C4:C25)</f>
        <v/>
      </c>
      <c r="D26" s="11">
        <f>SUM(D4:D25)</f>
        <v/>
      </c>
      <c r="E26" s="11">
        <f>SUM(E4:E25)</f>
        <v/>
      </c>
      <c r="F26" s="11">
        <f>SUM(F4:F25)</f>
        <v/>
      </c>
      <c r="G26" s="10">
        <f>IF(C26+D26=0,"",C26/(C26+D26))</f>
        <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F21"/>
  <sheetViews>
    <sheetView workbookViewId="0">
      <selection activeCell="A1" sqref="A1"/>
    </sheetView>
  </sheetViews>
  <sheetFormatPr baseColWidth="8" defaultRowHeight="15"/>
  <cols>
    <col width="10" customWidth="1" min="1" max="1"/>
    <col width="50" customWidth="1" min="2" max="2"/>
    <col width="12" customWidth="1" min="3" max="3"/>
    <col width="44" customWidth="1" min="4" max="4"/>
    <col width="12" customWidth="1" min="5" max="5"/>
    <col width="16" customWidth="1" min="6" max="6"/>
  </cols>
  <sheetData>
    <row r="1">
      <c r="A1" s="8" t="inlineStr">
        <is>
          <t>Penemuan dan tindakan pembetulan</t>
        </is>
      </c>
    </row>
    <row r="3">
      <c r="A3" s="12" t="inlineStr">
        <is>
          <t>No item</t>
        </is>
      </c>
      <c r="B3" s="12" t="inlineStr">
        <is>
          <t>Penemuan</t>
        </is>
      </c>
      <c r="C3" s="12" t="inlineStr">
        <is>
          <t>Kategori</t>
        </is>
      </c>
      <c r="D3" s="12" t="inlineStr">
        <is>
          <t>Tindakan pembetulan</t>
        </is>
      </c>
      <c r="E3" s="12" t="inlineStr">
        <is>
          <t>Tarikh siap</t>
        </is>
      </c>
      <c r="F3" s="12" t="inlineStr">
        <is>
          <t>PIC</t>
        </is>
      </c>
    </row>
    <row r="4" ht="30" customHeight="1">
      <c r="A4" s="13" t="n"/>
      <c r="B4" s="13" t="n"/>
      <c r="C4" s="13" t="n"/>
      <c r="D4" s="13" t="n"/>
      <c r="E4" s="13" t="n"/>
      <c r="F4" s="13" t="n"/>
    </row>
    <row r="5" ht="30" customHeight="1">
      <c r="A5" s="13" t="n"/>
      <c r="B5" s="13" t="n"/>
      <c r="C5" s="13" t="n"/>
      <c r="D5" s="13" t="n"/>
      <c r="E5" s="13" t="n"/>
      <c r="F5" s="13" t="n"/>
    </row>
    <row r="6" ht="30" customHeight="1">
      <c r="A6" s="13" t="n"/>
      <c r="B6" s="13" t="n"/>
      <c r="C6" s="13" t="n"/>
      <c r="D6" s="13" t="n"/>
      <c r="E6" s="13" t="n"/>
      <c r="F6" s="13" t="n"/>
    </row>
    <row r="7" ht="30" customHeight="1">
      <c r="A7" s="13" t="n"/>
      <c r="B7" s="13" t="n"/>
      <c r="C7" s="13" t="n"/>
      <c r="D7" s="13" t="n"/>
      <c r="E7" s="13" t="n"/>
      <c r="F7" s="13" t="n"/>
    </row>
    <row r="8" ht="30" customHeight="1">
      <c r="A8" s="13" t="n"/>
      <c r="B8" s="13" t="n"/>
      <c r="C8" s="13" t="n"/>
      <c r="D8" s="13" t="n"/>
      <c r="E8" s="13" t="n"/>
      <c r="F8" s="13" t="n"/>
    </row>
    <row r="9" ht="30" customHeight="1">
      <c r="A9" s="13" t="n"/>
      <c r="B9" s="13" t="n"/>
      <c r="C9" s="13" t="n"/>
      <c r="D9" s="13" t="n"/>
      <c r="E9" s="13" t="n"/>
      <c r="F9" s="13" t="n"/>
    </row>
    <row r="10" ht="30" customHeight="1">
      <c r="A10" s="13" t="n"/>
      <c r="B10" s="13" t="n"/>
      <c r="C10" s="13" t="n"/>
      <c r="D10" s="13" t="n"/>
      <c r="E10" s="13" t="n"/>
      <c r="F10" s="13" t="n"/>
    </row>
    <row r="11" ht="30" customHeight="1">
      <c r="A11" s="13" t="n"/>
      <c r="B11" s="13" t="n"/>
      <c r="C11" s="13" t="n"/>
      <c r="D11" s="13" t="n"/>
      <c r="E11" s="13" t="n"/>
      <c r="F11" s="13" t="n"/>
    </row>
    <row r="12" ht="30" customHeight="1">
      <c r="A12" s="13" t="n"/>
      <c r="B12" s="13" t="n"/>
      <c r="C12" s="13" t="n"/>
      <c r="D12" s="13" t="n"/>
      <c r="E12" s="13" t="n"/>
      <c r="F12" s="13" t="n"/>
    </row>
    <row r="13" ht="30" customHeight="1">
      <c r="A13" s="13" t="n"/>
      <c r="B13" s="13" t="n"/>
      <c r="C13" s="13" t="n"/>
      <c r="D13" s="13" t="n"/>
      <c r="E13" s="13" t="n"/>
      <c r="F13" s="13" t="n"/>
    </row>
    <row r="14" ht="30" customHeight="1">
      <c r="A14" s="13" t="n"/>
      <c r="B14" s="13" t="n"/>
      <c r="C14" s="13" t="n"/>
      <c r="D14" s="13" t="n"/>
      <c r="E14" s="13" t="n"/>
      <c r="F14" s="13" t="n"/>
    </row>
    <row r="15" ht="30" customHeight="1">
      <c r="A15" s="13" t="n"/>
      <c r="B15" s="13" t="n"/>
      <c r="C15" s="13" t="n"/>
      <c r="D15" s="13" t="n"/>
      <c r="E15" s="13" t="n"/>
      <c r="F15" s="13" t="n"/>
    </row>
    <row r="16" ht="30" customHeight="1">
      <c r="A16" s="13" t="n"/>
      <c r="B16" s="13" t="n"/>
      <c r="C16" s="13" t="n"/>
      <c r="D16" s="13" t="n"/>
      <c r="E16" s="13" t="n"/>
      <c r="F16" s="13" t="n"/>
    </row>
    <row r="17" ht="30" customHeight="1">
      <c r="A17" s="13" t="n"/>
      <c r="B17" s="13" t="n"/>
      <c r="C17" s="13" t="n"/>
      <c r="D17" s="13" t="n"/>
      <c r="E17" s="13" t="n"/>
      <c r="F17" s="13" t="n"/>
    </row>
    <row r="18" ht="30" customHeight="1">
      <c r="A18" s="13" t="n"/>
      <c r="B18" s="13" t="n"/>
      <c r="C18" s="13" t="n"/>
      <c r="D18" s="13" t="n"/>
      <c r="E18" s="13" t="n"/>
      <c r="F18" s="13" t="n"/>
    </row>
    <row r="21">
      <c r="A21" t="inlineStr">
        <is>
          <t>Tandatangan juruaudit: ____________________     Wakil syarikat: ____________________     Pengurusan atasan: ____________________</t>
        </is>
      </c>
    </row>
  </sheetData>
  <dataValidations count="1">
    <dataValidation sqref="C4:C200" showDropDown="0" showInputMessage="0" showErrorMessage="0" allowBlank="1" type="list">
      <formula1>"Kritikal,Major,Minor"</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7"/>
  <sheetViews>
    <sheetView workbookViewId="0">
      <selection activeCell="A1" sqref="A1"/>
    </sheetView>
  </sheetViews>
  <sheetFormatPr baseColWidth="8" defaultRowHeight="15"/>
  <cols>
    <col width="22" customWidth="1" min="1" max="1"/>
    <col width="50" customWidth="1" min="2" max="2"/>
    <col width="60" customWidth="1" min="3" max="3"/>
    <col width="40" customWidth="1" min="4" max="4"/>
  </cols>
  <sheetData>
    <row r="1">
      <c r="A1" s="9" t="inlineStr">
        <is>
          <t>Rujukan</t>
        </is>
      </c>
      <c r="B1" s="9" t="inlineStr">
        <is>
          <t>Dokumen penuh</t>
        </is>
      </c>
      <c r="C1" s="9" t="inlineStr">
        <is>
          <t>Cara disemak</t>
        </is>
      </c>
      <c r="D1" s="9" t="inlineStr">
        <is>
          <t>Pautan</t>
        </is>
      </c>
    </row>
    <row r="2">
      <c r="A2" s="14" t="inlineStr">
        <is>
          <t>MPPHM</t>
        </is>
      </c>
      <c r="B2" s="14" t="inlineStr">
        <is>
          <t>Manual Prosedur Pensijilan Halal Malaysia (Domestik) 2020 (JAKIM/JAIN/MAIN)</t>
        </is>
      </c>
      <c r="C2" s="14" t="inlineStr">
        <is>
          <t>Teks penuh disemak melalui WebFetch bagi s. 3, 5, 6, 8 (Jadual 1), 17(1)-17(17) dan 18(1)(a)-(f). Bagi s. 14, 19, 20, 22, 23, 34-37, 40, 41, 60 dan 61, hanya tajuk dalam jadual kandungan disemak kerana teks badannya tiada dalam salinan yang boleh dibaca.</t>
        </is>
      </c>
      <c r="D2" s="14" t="inlineStr">
        <is>
          <t>https://jaips.perlis.gov.my/phocadownload/MPPHM%20Domestik%202020%20JAKIM-JAIN.pdf</t>
        </is>
      </c>
    </row>
    <row r="3">
      <c r="A3" s="14" t="inlineStr">
        <is>
          <t>MHMS</t>
        </is>
      </c>
      <c r="B3" s="14" t="inlineStr">
        <is>
          <t>Sistem Pengurusan Halal Malaysia (Malaysian Halal Management System) 2020</t>
        </is>
      </c>
      <c r="C3" s="14" t="inlineStr">
        <is>
          <t>Teks penuh dibaca daripada salinan dokumen rasmi JAKIM di serunai.com, kerana pautan rasmi myehalal dialihkan ke laman utama. Bahagian yang dibaca: 5(1)-5(13) (HAS), 6 (IHCS), 7(1) (Produk Makanan dan Minuman) dan Lampiran D (contoh SOP audit dalaman). Rujukan mengikut penomboran yang dicetak dalam manual.</t>
        </is>
      </c>
      <c r="D3" s="14" t="inlineStr">
        <is>
          <t>https://serunai.com/wp-content/uploads/2023/03/SPHM-2020.pdf</t>
        </is>
      </c>
    </row>
    <row r="4">
      <c r="A4" s="14" t="inlineStr">
        <is>
          <t>MS 1500</t>
        </is>
      </c>
      <c r="B4" s="14" t="inlineStr">
        <is>
          <t>MS 1500:2019 Halal food - General requirements (Third revision)</t>
        </is>
      </c>
      <c r="C4" s="14" t="inlineStr">
        <is>
          <t>Pratonton rasmi MySOL: tajuk klausa sahaja (4.1-4.8, 5, 6, 7 dan Lampiran A tentang sertu). Isi klausa diringkaskan, jadi setiap rujukan diberi tanda *.</t>
        </is>
      </c>
      <c r="D4" s="14" t="inlineStr">
        <is>
          <t>https://mysol.jsm.gov.my/getPdfFileForAdmin/eyJpdiI6IlNvYkQ0eE94dmwrSGFZRDhiaDh6NUE9PSIsInZhbHVlIjoiTmx3NEhKRW81OU1wYnptQUlNbml0Zz09IiwibWFjIjoiNDA1MmEwNjA5NDIwNjhiMGZmNGE1Y2ZhM2RhNDlhMGI3ZDQxY2Q1ZDA5MDI1YmQ5MjllZjY4ODBiOWYzOGQxMSJ9</t>
        </is>
      </c>
    </row>
    <row r="5">
      <c r="A5" s="14" t="inlineStr">
        <is>
          <t>MS 2320</t>
        </is>
      </c>
      <c r="B5" s="14" t="inlineStr">
        <is>
          <t>MS 2320:2010 Drinking water - Quality requirements</t>
        </is>
      </c>
      <c r="C5" s="14" t="inlineStr">
        <is>
          <t>Pratonton rasmi MySOL: jadual kandungan (kl. 0-5, Jadual 1-6, Rajah 1) dan kata pengantar sahaja. Menurut kata pengantar, standard ini berasaskan National Standard for Drinking Water Quality 2004 (KKM). Rujukan bertanda *.</t>
        </is>
      </c>
      <c r="D5" s="14" t="inlineStr">
        <is>
          <t>https://mysol.jsm.gov.my/getPdfFileForAdmin/eyJpdiI6ImFkVmhId21VQnBsQmN6Q1pSSm9LdlE9PSIsInZhbHVlIjoiVEVENEhyU2wwT08wcWVJM3hFaTU0dz09IiwibWFjIjoiNTJiZDI3ZjlkYzA2M2ZkNWE4NDhhNDZhOTAyOWE2NzM1YzA4OWY4ODk1MTMxNDAxODEwNzgwNWQ3MGI2OTc3MSJ9</t>
        </is>
      </c>
    </row>
    <row r="6">
      <c r="A6" s="14" t="inlineStr">
        <is>
          <t>MS 1783</t>
        </is>
      </c>
      <c r="B6" s="14" t="inlineStr">
        <is>
          <t>MS 1783:2005 Edible ice in food processing and food services - Specification</t>
        </is>
      </c>
      <c r="C6" s="14" t="inlineStr">
        <is>
          <t>Pratonton rasmi MySOL: jadual kandungan sahaja (kl. 1-8 dan Jadual 1 Bacteriological tolerances). Rujukan bertanda *.</t>
        </is>
      </c>
      <c r="D6" s="14" t="inlineStr">
        <is>
          <t>https://mysol.jsm.gov.my/getPdfFileForAdmin/eyJpdiI6InprWlNqVWZyOXJxQmNJa0JpaHA4bFE9PSIsInZhbHVlIjoiS3BIZEVwNElTOW8vaWJTUE91MS83Zz09IiwibWFjIjoiOWZjMThhMTYxZDgyMTFmNDcyOGY3ZDc3OGY2MjkwZDRhODAxODE1ZDBmYTEwMTE4NTQyZmY2YjNhOThmY2JhYSJ9</t>
        </is>
      </c>
    </row>
    <row r="7">
      <c r="A7" s="14" t="inlineStr">
        <is>
          <t>MS ISO 21469</t>
        </is>
      </c>
      <c r="B7" s="14" t="inlineStr">
        <is>
          <t>MS ISO 21469:2007 Safety of machinery - Lubricants with incidental product contact - Hygiene requirements</t>
        </is>
      </c>
      <c r="C7" s="14" t="inlineStr">
        <is>
          <t>Pratonton rasmi MySOL: halaman hadapan dan tajuk sahaja. Jadual kandungan tidak kelihatan, jadi standard ini dirujuk tanpa nombor klausa.</t>
        </is>
      </c>
      <c r="D7" s="14" t="inlineStr">
        <is>
          <t>https://mysol.jsm.gov.my/getPdfFileForAdmin/eyJpdiI6ImJIRndoak1hODVZaE1BRUlESFFJc0E9PSIsInZhbHVlIjoiQjU3ZUdpYlI1YTFGNFhlK1NqeHpkdz09IiwibWFjIjoiZjQ3OTgzYzQ2MjE5YzM3NTcwN2E0ODg5MTY1NzMxN2RjYzAwZTBmOTJhN2Y3MWMyYmU0MjMzMjAzZDg2NzljNCJ9</t>
        </is>
      </c>
    </row>
    <row r="8">
      <c r="A8" s="14" t="inlineStr">
        <is>
          <t>MS 2627</t>
        </is>
      </c>
      <c r="B8" s="14" t="inlineStr">
        <is>
          <t>MS 2627:2017 Detection of porcine DNA - Test method - Food and food products</t>
        </is>
      </c>
      <c r="C8" s="14" t="inlineStr">
        <is>
          <t>Pratonton rasmi MySOL: jadual kandungan (kl. 1-12) dan ringkasan skop sahaja. Skop: kaedah kualitatif untuk mengesan DNA babi dalam bahan mentah dan dalam makanan yang diproses dan sangat diproses. Rujukan bertanda *.</t>
        </is>
      </c>
      <c r="D8" s="14" t="inlineStr">
        <is>
          <t>https://mysol.jsm.gov.my/preview-file/eyJpdiI6IlpORWxqczZIeXUzSUdZM2psZTZxaHc9PSIsInZhbHVlIjoidGdvaHpCTU5DTEl6eTJMM1gyandMQT09IiwibWFjIjoiN2Y1MGMxOTI2OWRhM2Q2MDMxMDg0ZWYzYzRlOWZlOGFlMDJlMThhMjJiMDZhYWMwMjlkYjg3M2RhZGNhNTY4NSJ9</t>
        </is>
      </c>
    </row>
    <row r="9">
      <c r="A9" s="14" t="inlineStr">
        <is>
          <t>PKM</t>
        </is>
      </c>
      <c r="B9" s="14" t="inlineStr">
        <is>
          <t>Peraturan-Peraturan Kebersihan Makanan 2009 (P.U.(A) 95/2009), di bawah Akta Makanan 1983</t>
        </is>
      </c>
      <c r="C9" s="14" t="inlineStr">
        <is>
          <t>Teks penuh (FAOLEX) disemak bagi per. 3-57 (dengan nombor sub-peraturan dan perenggan) serta Jadual Pertama dan Ketiga.</t>
        </is>
      </c>
      <c r="D9" s="14" t="inlineStr">
        <is>
          <t>https://faolex.fao.org/docs/pdf/mal91581.pdf</t>
        </is>
      </c>
    </row>
    <row r="10">
      <c r="A10" s="14" t="inlineStr">
        <is>
          <t>PM 1985</t>
        </is>
      </c>
      <c r="B10" s="14" t="inlineStr">
        <is>
          <t>Peraturan-Peraturan Makanan 1985 (P.U.(A) 437/1985)</t>
        </is>
      </c>
      <c r="C10" s="14" t="inlineStr">
        <is>
          <t>Teks penuh (salinan disatukan dengan pindaan, foodipedia.my) disemak bagi per. 9-36A: pelabelan, bahan tambah dan bungkusan.</t>
        </is>
      </c>
      <c r="D10" s="14" t="inlineStr">
        <is>
          <t>https://www.foodipedia.my/food-regulations-1985.pdf</t>
        </is>
      </c>
    </row>
    <row r="11">
      <c r="A11" s="14" t="inlineStr">
        <is>
          <t>Akta Makanan 1983</t>
        </is>
      </c>
      <c r="B11" s="14" t="inlineStr">
        <is>
          <t>Akta Makanan 1983 (Akta 281)</t>
        </is>
      </c>
      <c r="C11" s="14" t="inlineStr">
        <is>
          <t>Teks penuh (FAOLEX): senarai seksyen, dengan ringkasan s. 10, 11, 13-17.</t>
        </is>
      </c>
      <c r="D11" s="14" t="inlineStr">
        <is>
          <t>https://faolex.fao.org/docs/pdf/mal27309.pdf</t>
        </is>
      </c>
    </row>
    <row r="12">
      <c r="A12" s="14" t="inlineStr">
        <is>
          <t>APD 2011</t>
        </is>
      </c>
      <c r="B12" s="14" t="inlineStr">
        <is>
          <t>Akta Perihal Dagangan 2011 (Akta 730)</t>
        </is>
      </c>
      <c r="C12" s="14" t="inlineStr">
        <is>
          <t>Sumber kedua: artikel jurnal Universiti Malaya yang menerangkan s. 28 (kuasa Menteri mentakrif ungkapan seperti 'halal') dan s. 29 (perakuan dan penandaan), serta Perintah yang dibuat di bawah kedua-dua seksyen itu.</t>
        </is>
      </c>
      <c r="D12" s="14" t="inlineStr">
        <is>
          <t>https://jier.um.edu.my/index.php/JS/article/download/6922/4584</t>
        </is>
      </c>
    </row>
    <row r="13">
      <c r="A13" s="14" t="inlineStr">
        <is>
          <t>Perintah Takrif Halal 2011</t>
        </is>
      </c>
      <c r="B13" s="14" t="inlineStr">
        <is>
          <t>Perintah Perihal Dagangan (Takrif Halal) 2011 (P.U.(A) 430/2011)</t>
        </is>
      </c>
      <c r="C13" s="14" t="inlineStr">
        <is>
          <t>Sumber kedua: artikel jurnal USIM yang memetik perenggan 3(1)(a)-(g) (syarat halal) dan menerangkan perenggan 4 (representasi halal, termasuk ayat al-Quran). Warta asal tidak dapat dibuka.</t>
        </is>
      </c>
      <c r="D13" s="14" t="inlineStr">
        <is>
          <t>https://mjsl.usim.edu.my/index.php/jurnalmjsl/article/download/143/78/338</t>
        </is>
      </c>
    </row>
    <row r="14">
      <c r="A14" s="14" t="inlineStr">
        <is>
          <t>Perintah Perakuan &amp; Penandaan Halal 2011</t>
        </is>
      </c>
      <c r="B14" s="14" t="inlineStr">
        <is>
          <t>Perintah Perihal Dagangan (Perakuan dan Penandaan Halal) 2011 (P.U.(A) 431/2011)</t>
        </is>
      </c>
      <c r="C14" s="14" t="inlineStr">
        <is>
          <t>Teks warta (salinan) dibaca: perenggan 2 (takrif), 3 (pihak berkuasa berwibawa), 4 (perakuan dan penandaan), 5 (badan pensijilan luar negara), 6 (cara penandaan), 7 (pematuhan standard, prosedur dan pekeliling JAKIM) dan 8 (kesalahan).</t>
        </is>
      </c>
      <c r="D14" s="14" t="inlineStr">
        <is>
          <t>https://login.totalweblite.com/Clients/halalfood/431wartaperakuanhalal.pdf</t>
        </is>
      </c>
    </row>
    <row r="15">
      <c r="A15" s="14" t="inlineStr">
        <is>
          <t>Fatwa MKI 2011 (alkohol)</t>
        </is>
      </c>
      <c r="B15" s="14" t="inlineStr">
        <is>
          <t>Keputusan Muzakarah Khas Jawatankuasa Fatwa Majlis Kebangsaan Bagi Hal Ehwal Ugama Islam Malaysia (14-16 Julai 2011) tentang alkohol dalam makanan, minuman, pewangi dan ubat-ubatan</t>
        </is>
      </c>
      <c r="C15" s="14" t="inlineStr">
        <is>
          <t>Sumber kedua: Irsyad Hukum Siri 290, Jabatan Mufti Wilayah Persekutuan, yang memetik keputusan Muzakarah. Laman e-SMAF JAKIM tidak dapat dibuka.</t>
        </is>
      </c>
      <c r="D15" s="14" t="inlineStr">
        <is>
          <t>https://www.muftiwp.gov.my/ms/artikel/irsyad-hukum/umum/3097-irsyad-al-fatwa-siri-ke-290-hukum-pewarna-makanan-20-peratus-alkohol</t>
        </is>
      </c>
    </row>
    <row r="16">
      <c r="A16" s="14" t="inlineStr">
        <is>
          <t>MS 1514</t>
        </is>
      </c>
      <c r="B16" s="14" t="inlineStr">
        <is>
          <t>MS 1514:2022 Good Manufacturing Practice (GMP) for Food (Second revision)</t>
        </is>
      </c>
      <c r="C16" s="14" t="inlineStr">
        <is>
          <t>Teks penuh (salinan pengguna); item diparafrasa dengan nombor klausa, "(saranan)" = klausa "should"</t>
        </is>
      </c>
      <c r="D16" s="14" t="inlineStr"/>
    </row>
    <row r="17">
      <c r="A17" s="14" t="inlineStr">
        <is>
          <t>MS 1480</t>
        </is>
      </c>
      <c r="B17" s="14" t="inlineStr">
        <is>
          <t>MS 1480:2025 Food safety according to Hazard Analysis and Critical Control Point (HACCP) system (Third revision)</t>
        </is>
      </c>
      <c r="C17" s="14" t="inlineStr">
        <is>
          <t>Teks penuh (salinan pengguna); item diparafrasa dengan nombor klausa, "(saranan)" = klausa "should"</t>
        </is>
      </c>
      <c r="D17" s="14" t="inlineStr"/>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2026-10-06T15:31:36Z</dcterms:created>
  <dcterms:modified xmlns:dcterms="http://purl.org/dc/terms/" xmlns:xsi="http://www.w3.org/2001/XMLSchema-instance" xsi:type="dcterms:W3CDTF">2026-10-06T15:31:36Z</dcterms:modified>
</cp:coreProperties>
</file>