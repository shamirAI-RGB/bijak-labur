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39"/>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Perkhidmatan Logistik</t>
        </is>
      </c>
    </row>
    <row r="2">
      <c r="A2" t="inlineStr">
        <is>
          <t>Premis/syarikat: ______________________________   Perkhidmatan: Pengangkutan / Pergudangan / Peruncitan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Skop Permohonan</t>
        </is>
      </c>
      <c r="B6" s="5" t="n"/>
      <c r="C6" s="5" t="n"/>
      <c r="D6" s="5" t="n"/>
      <c r="E6" s="6" t="n"/>
    </row>
    <row r="7" ht="26" customHeight="1">
      <c r="A7" s="2" t="inlineStr">
        <is>
          <t>Semak dokumen pendaftaran, lesen dan permit serta skop perkhidmatan yang diisytiharkan dalam MYeHALAL, kemudian padankan dengan operasi sebenar di lapangan.</t>
        </is>
      </c>
    </row>
    <row r="8">
      <c r="A8" s="7" t="inlineStr">
        <is>
          <t>A1</t>
        </is>
      </c>
      <c r="B8" s="7" t="inlineStr">
        <is>
          <t>Pendaftaran perniagaan (SSM, koperasi atau dokumen penubuhan) masih sah, dan nama serta alamatnya sama dengan permohonan SPHM.</t>
        </is>
      </c>
      <c r="C8" s="7" t="inlineStr">
        <is>
          <t>MPPHM 5(1)</t>
        </is>
      </c>
      <c r="D8" s="7" t="inlineStr"/>
      <c r="E8" s="7" t="inlineStr"/>
      <c r="F8" t="inlineStr">
        <is>
          <t>A</t>
        </is>
      </c>
    </row>
    <row r="9">
      <c r="A9" s="7" t="inlineStr">
        <is>
          <t>A2</t>
        </is>
      </c>
      <c r="B9" s="7" t="inlineStr">
        <is>
          <t>Lesen PBT bagi setiap premis yang dipohon (gudang, depoh, pusat pengedaran, outlet runcit) masih sah dan sepadan dengan alamat serta aktiviti premis. Jika premis tidak dilesenkan oleh PBT, dokumen sokongan agensi kerajaan yang berkaitan masih sah.</t>
        </is>
      </c>
      <c r="C9" s="7" t="inlineStr">
        <is>
          <t>MPPHM 5(2)</t>
        </is>
      </c>
      <c r="D9" s="7" t="inlineStr"/>
      <c r="E9" s="7" t="inlineStr"/>
      <c r="F9" t="inlineStr">
        <is>
          <t>A</t>
        </is>
      </c>
    </row>
    <row r="10">
      <c r="A10" s="7" t="inlineStr">
        <is>
          <t>A3</t>
        </is>
      </c>
      <c r="B10" s="7" t="inlineStr">
        <is>
          <t>Perkhidmatan yang dipohon tergolong dalam Skim Perkhidmatan Logistik, iaitu pengangkutan, pergudangan dan/atau peruncitan sahaja, termasuk perkhidmatan logistik bersepadu dan fasiliti rantaian sejuk.</t>
        </is>
      </c>
      <c r="C10" s="7" t="inlineStr">
        <is>
          <t>MPPHM 4, 18(6)(a), 6(4)</t>
        </is>
      </c>
      <c r="D10" s="7" t="inlineStr"/>
      <c r="E10" s="7" t="inlineStr"/>
      <c r="F10" t="inlineStr">
        <is>
          <t>A</t>
        </is>
      </c>
    </row>
    <row r="11">
      <c r="A11" s="7" t="inlineStr">
        <is>
          <t>A4</t>
        </is>
      </c>
      <c r="B11" s="7" t="inlineStr">
        <is>
          <t>Peruncitan: pemohon ialah syarikat yang menjalankan pengedaran atau perdagangan produk, atau peruncit makanan seperti kedai runcit, kedai serbaneka dan pasar raya.</t>
        </is>
      </c>
      <c r="C11" s="7" t="inlineStr">
        <is>
          <t>MPPHM 18(6)(f)</t>
        </is>
      </c>
      <c r="D11" s="7" t="inlineStr"/>
      <c r="E11" s="7" t="inlineStr"/>
      <c r="F11" t="inlineStr">
        <is>
          <t>A</t>
        </is>
      </c>
    </row>
    <row r="12">
      <c r="A12" s="7" t="inlineStr">
        <is>
          <t>A5</t>
        </is>
      </c>
      <c r="B12" s="7" t="inlineStr">
        <is>
          <t>Maklumat pengangkutan, pergudangan dan peruncitan yang dipohon diisytiharkan secara terperinci dalam borang MYeHALAL (cth. senarai kenderaan dan nombor pendaftarannya, lot atau zon gudang, cawangan dan outlet), dan sepadan dengan yang ditemui semasa audit.</t>
        </is>
      </c>
      <c r="C12" s="7" t="inlineStr">
        <is>
          <t>MPPHM 18(6)(g), 17(2)(c)</t>
        </is>
      </c>
      <c r="D12" s="7" t="inlineStr"/>
      <c r="E12" s="7" t="inlineStr"/>
      <c r="F12" t="inlineStr">
        <is>
          <t>A</t>
        </is>
      </c>
    </row>
    <row r="13">
      <c r="A13" s="7" t="inlineStr">
        <is>
          <t>A6</t>
        </is>
      </c>
      <c r="B13" s="7" t="inlineStr">
        <is>
          <t>Senarai kenderaan, lot dan outlet dalam MYeHALAL dikemas kini mengikut operasi semasa (unit yang tiada sebarang pengendalian perkhidmatan sepanjang tempoh sah SPHM terdahulu boleh digugurkan), dan tiada kenderaan, lot atau outlet yang tidak diisytiharkan diperihalkan sebagai dipersijilkan.</t>
        </is>
      </c>
      <c r="C13" s="7" t="inlineStr">
        <is>
          <t>MPPHM 18(6)(g), 17(2)(e); Perintah Perakuan &amp; Penandaan Halal 2011 perenggan 4(2)</t>
        </is>
      </c>
      <c r="D13" s="7" t="inlineStr"/>
      <c r="E13" s="7" t="inlineStr"/>
      <c r="F13" t="inlineStr">
        <is>
          <t>A</t>
        </is>
      </c>
    </row>
    <row r="14">
      <c r="A14" s="7" t="inlineStr">
        <is>
          <t>A7</t>
        </is>
      </c>
      <c r="B14" s="7" t="inlineStr">
        <is>
          <t>Syarikat telah beroperasi sepenuhnya sekurang-kurangnya 3 bulan sebelum memohon (pemohon baharu), atau sekurang-kurangnya 1 bulan di premis baharu (pindah premis).</t>
        </is>
      </c>
      <c r="C14" s="7" t="inlineStr">
        <is>
          <t>MPPHM 5(7), 5(8)</t>
        </is>
      </c>
      <c r="D14" s="7" t="inlineStr"/>
      <c r="E14" s="7" t="inlineStr"/>
      <c r="F14" t="inlineStr">
        <is>
          <t>A</t>
        </is>
      </c>
    </row>
    <row r="15">
      <c r="A15" s="7" t="inlineStr">
        <is>
          <t>A8</t>
        </is>
      </c>
      <c r="B15" s="7" t="inlineStr">
        <is>
          <t>Nama syarikat, nama perkhidmatan dan jenama tidak menggunakan perkataan 'halal' atau perkataan lain yang serupa.</t>
        </is>
      </c>
      <c r="C15" s="7" t="inlineStr">
        <is>
          <t>MPPHM 5(12)</t>
        </is>
      </c>
      <c r="D15" s="7" t="inlineStr"/>
      <c r="E15" s="7" t="inlineStr"/>
      <c r="F15" t="inlineStr">
        <is>
          <t>A</t>
        </is>
      </c>
    </row>
    <row r="16">
      <c r="A16" s="7" t="inlineStr">
        <is>
          <t>A9</t>
        </is>
      </c>
      <c r="B16" s="7" t="inlineStr">
        <is>
          <t>Jenama atau nama perkhidmatan khusus yang digunakan bagi perkhidmatan yang dipersijilkan (cth. nama perkhidmatan penghantaran atau rantaian sejuk halal) tidak digunakan juga bagi perkhidmatan yang mengendalikan produk tidak halal.</t>
        </is>
      </c>
      <c r="C16" s="7" t="inlineStr">
        <is>
          <t>MPPHM 6(3)</t>
        </is>
      </c>
      <c r="D16" s="7" t="inlineStr"/>
      <c r="E16" s="7" t="inlineStr"/>
      <c r="F16" t="inlineStr">
        <is>
          <t>A</t>
        </is>
      </c>
    </row>
    <row r="17">
      <c r="A17" s="7" t="inlineStr">
        <is>
          <t>A10</t>
        </is>
      </c>
      <c r="B17" s="7" t="inlineStr">
        <is>
          <t>Pergudangan: syarikat yang menyimpan barang berduti memiliki lesen gudang berlesen daripada JKDM yang masih sah dan meliputi premis yang diaudit.</t>
        </is>
      </c>
      <c r="C17" s="7" t="inlineStr">
        <is>
          <t>MPPHM 18(6)(b); Akta Kastam 1967 s. 65</t>
        </is>
      </c>
      <c r="D17" s="7" t="inlineStr"/>
      <c r="E17" s="7" t="inlineStr"/>
      <c r="F17" t="inlineStr">
        <is>
          <t>A</t>
        </is>
      </c>
    </row>
    <row r="18">
      <c r="A18" s="7" t="inlineStr">
        <is>
          <t>A11</t>
        </is>
      </c>
      <c r="B18" s="7" t="inlineStr">
        <is>
          <t>Pengangkutan: syarikat ejen penghantaran barang (freight forwarder), ejen kastam dan ejen perkapalan memiliki lesen JKDM yang masih sah.</t>
        </is>
      </c>
      <c r="C18" s="7" t="inlineStr">
        <is>
          <t>MPPHM 18(6)(d); Akta Kastam 1967 s. 90</t>
        </is>
      </c>
      <c r="D18" s="7" t="inlineStr"/>
      <c r="E18" s="7" t="inlineStr"/>
      <c r="F18" t="inlineStr">
        <is>
          <t>A</t>
        </is>
      </c>
    </row>
    <row r="19">
      <c r="A19" s="7" t="inlineStr">
        <is>
          <t>A12</t>
        </is>
      </c>
      <c r="B19" s="7" t="inlineStr">
        <is>
          <t>Pengangkutan: setiap kenderaan kontena pukal, cecair pukal dan kenderaan komersial yang dipohon didaftarkan dengan JPJ (geran dan lesen kenderaan motor masih sah).</t>
        </is>
      </c>
      <c r="C19" s="7" t="inlineStr">
        <is>
          <t>MPPHM 18(6)(c); Akta Pengangkutan Jalan 1987</t>
        </is>
      </c>
      <c r="D19" s="7" t="inlineStr"/>
      <c r="E19" s="7" t="inlineStr"/>
      <c r="F19" t="inlineStr">
        <is>
          <t>A</t>
        </is>
      </c>
    </row>
    <row r="20">
      <c r="A20" s="7" t="inlineStr">
        <is>
          <t>A13</t>
        </is>
      </c>
      <c r="B20" s="7" t="inlineStr">
        <is>
          <t>Pengangkutan: lesen pengendali perkhidmatan kenderaan barangan masih sah bagi kenderaan yang memerlukannya (jika berkaitan), iaitu daripada APAD bagi operasi di Semenanjung Malaysia, atau daripada LPKP bagi Sabah dan Sarawak.</t>
        </is>
      </c>
      <c r="C20" s="7" t="inlineStr">
        <is>
          <t>MPPHM 18(6)(c); Akta Pengangkutan Awam Darat 2010 s. 51; Akta Lembaga Pelesenan Kenderaan Perdagangan 1987</t>
        </is>
      </c>
      <c r="D20" s="7" t="inlineStr"/>
      <c r="E20" s="7" t="inlineStr"/>
      <c r="F20" t="inlineStr">
        <is>
          <t>A</t>
        </is>
      </c>
    </row>
    <row r="21">
      <c r="A21" s="7" t="inlineStr">
        <is>
          <t>A14</t>
        </is>
      </c>
      <c r="B21" s="7" t="inlineStr">
        <is>
          <t>Pergudangan: syarikat yang menyimpan produk daging dan hasilan daging memiliki permit import daripada JPV yang masih sah.</t>
        </is>
      </c>
      <c r="C21" s="7" t="inlineStr">
        <is>
          <t>MPPHM 18(6)(e)</t>
        </is>
      </c>
      <c r="D21" s="7" t="inlineStr"/>
      <c r="E21" s="7" t="inlineStr"/>
      <c r="F21" t="inlineStr">
        <is>
          <t>A</t>
        </is>
      </c>
    </row>
    <row r="22">
      <c r="A22" s="7" t="inlineStr">
        <is>
          <t>A15</t>
        </is>
      </c>
      <c r="B22" s="7" t="inlineStr">
        <is>
          <t>Peruncitan: pengedar atau pedagang peranti perubatan (jika berkaitan) memiliki Lesen Establimen daripada Pihak Berkuasa Peranti Perubatan (MDA) yang masih sah.</t>
        </is>
      </c>
      <c r="C22" s="7" t="inlineStr">
        <is>
          <t>MPPHM 5(6)</t>
        </is>
      </c>
      <c r="D22" s="7" t="inlineStr"/>
      <c r="E22" s="7" t="inlineStr"/>
      <c r="F22" t="inlineStr">
        <is>
          <t>A</t>
        </is>
      </c>
    </row>
    <row r="23">
      <c r="A23" s="7" t="inlineStr">
        <is>
          <t>A16</t>
        </is>
      </c>
      <c r="B23" s="7" t="inlineStr">
        <is>
          <t>Gudang, pusat pengedaran atau outlet runcit yang menyimpan atau menjual makanan memiliki Perakuan Pendaftaran Premis Makanan KKM yang masih sah (jika premis itu perlu didaftarkan dengan KKM).</t>
        </is>
      </c>
      <c r="C23" s="7" t="inlineStr">
        <is>
          <t>MPPHM 5(3)</t>
        </is>
      </c>
      <c r="D23" s="7" t="inlineStr"/>
      <c r="E23" s="7" t="inlineStr"/>
      <c r="F23" t="inlineStr">
        <is>
          <t>A</t>
        </is>
      </c>
    </row>
    <row r="24">
      <c r="A24" s="7" t="inlineStr">
        <is>
          <t>A17</t>
        </is>
      </c>
      <c r="B24" s="7" t="inlineStr">
        <is>
          <t>Rumusan (ditanda selepas audit lapangan): keputusan semakan bahagian B hingga L tidak menunjukkan ketidakakuran yang belum diperbetulkan terhadap bahagian MS 2400 yang berkaitan (MS 2400-1:2019 pengangkutan, MS 2400-2:2019 pergudangan, MS 2400-3:2019 peruncitan) serta perundangan dan peraturan terkini.</t>
        </is>
      </c>
      <c r="C24" s="7" t="inlineStr">
        <is>
          <t>MPPHM 18(6)(h), 17(16)(a), 17(1)(i), 17(2)(g), 17(4)(i), 17(7)(e), 17(8)(m)</t>
        </is>
      </c>
      <c r="D24" s="7" t="inlineStr"/>
      <c r="E24" s="7" t="inlineStr"/>
      <c r="F24" t="inlineStr">
        <is>
          <t>A</t>
        </is>
      </c>
    </row>
    <row r="25">
      <c r="A25" s="4" t="inlineStr">
        <is>
          <t>Bahagian B: Pengurusan Halal &amp; MHMS mengikut Saiz Syarikat</t>
        </is>
      </c>
      <c r="B25" s="5" t="n"/>
      <c r="C25" s="5" t="n"/>
      <c r="D25" s="5" t="n"/>
      <c r="E25" s="6" t="n"/>
    </row>
    <row r="26" ht="26" customHeight="1">
      <c r="A26" s="2" t="inlineStr">
        <is>
          <t>Semak manual HAS atau IHCS, surat lantikan, carta organisasi dan minit mesyuarat, kemudian sahkan melalui temu bual dengan pengurusan atasan, Eksekutif atau Penyelia Halal dan pekerja.</t>
        </is>
      </c>
    </row>
    <row r="27">
      <c r="A27" s="7" t="inlineStr">
        <is>
          <t>B1</t>
        </is>
      </c>
      <c r="B27" s="7" t="inlineStr">
        <is>
          <t>Kategori industri ditentukan dengan betul berdasarkan nilai perolehan tahunan (mikro: kurang daripada RM300,000; kecil: RM300,000 hingga RM14,999,999.99; sederhana: RM15 juta hingga RM50 juta; besar: melebihi RM50 juta), dan sistem yang dilaksanakan sepadan dengan kategori itu (HAS bagi besar/sederhana, IHCS bagi kecil/mikro).</t>
        </is>
      </c>
      <c r="C27" s="7" t="inlineStr">
        <is>
          <t>MPPHM 8 (Jadual 1), 18(6)(i); MHMS 7(4)</t>
        </is>
      </c>
      <c r="D27" s="7" t="inlineStr"/>
      <c r="E27" s="7" t="inlineStr"/>
      <c r="F27" t="inlineStr">
        <is>
          <t>B</t>
        </is>
      </c>
    </row>
    <row r="28">
      <c r="A28" s="7" t="inlineStr">
        <is>
          <t>B2</t>
        </is>
      </c>
      <c r="B28" s="7" t="inlineStr">
        <is>
          <t>Pengurusan atasan menunjukkan komitmen terhadap integriti halal: tanggungjawab dan kuasa berkaitan halal ditetapkan secara bertulis, dan sumber kewangan, infrastruktur serta tenaga kerja disediakan.</t>
        </is>
      </c>
      <c r="C28" s="7" t="inlineStr">
        <is>
          <t>MS 2400-1/-2/-3 kl. 4.2*</t>
        </is>
      </c>
      <c r="D28" s="7" t="inlineStr"/>
      <c r="E28" s="7" t="inlineStr"/>
      <c r="F28" t="inlineStr">
        <is>
          <t>B</t>
        </is>
      </c>
    </row>
    <row r="29">
      <c r="A29" s="7" t="inlineStr">
        <is>
          <t>B3</t>
        </is>
      </c>
      <c r="B29" s="7" t="inlineStr">
        <is>
          <t>Polisi halal bertulis diluluskan pengurusan atasan, menyatakan komitmen menyediakan perkhidmatan halal dan mematuhi keperluan pensijilan, serta dipamerkan dan dimaklumkan kepada pekerja dan pihak berkepentingan (cth. pelanggan, subkontraktor). Pekerja yang ditemu bual dapat menerangkannya.</t>
        </is>
      </c>
      <c r="C29" s="7" t="inlineStr">
        <is>
          <t>MHMS 5(2), 6(1), 7(4)(b)(i); MS 2400-1/-2/-3 kl. 4.2*</t>
        </is>
      </c>
      <c r="D29" s="7" t="inlineStr"/>
      <c r="E29" s="7" t="inlineStr"/>
      <c r="F29" t="inlineStr">
        <is>
          <t>B</t>
        </is>
      </c>
    </row>
    <row r="30">
      <c r="A30" s="7" t="inlineStr">
        <is>
          <t>B4</t>
        </is>
      </c>
      <c r="B30" s="7" t="inlineStr">
        <is>
          <t>Besar/sederhana: sekurang-kurangnya 2 pekerja Muslim warganegara Malaysia berjawatan tetap ditempatkan di kawasan perkhidmatan logistik sepanjang tempoh operasi atau syif.</t>
        </is>
      </c>
      <c r="C30" s="7" t="inlineStr">
        <is>
          <t>MPPHM 18(6)(i)(i)</t>
        </is>
      </c>
      <c r="D30" s="7" t="inlineStr"/>
      <c r="E30" s="7" t="inlineStr"/>
      <c r="F30" t="inlineStr">
        <is>
          <t>B</t>
        </is>
      </c>
    </row>
    <row r="31">
      <c r="A31" s="7" t="inlineStr">
        <is>
          <t>B5</t>
        </is>
      </c>
      <c r="B31" s="7" t="inlineStr">
        <is>
          <t>Besar/sederhana: Eksekutif Halal dilantik di setiap cawangan premis.</t>
        </is>
      </c>
      <c r="C31" s="7" t="inlineStr">
        <is>
          <t>MPPHM 18(6)(i)(i); MHMS 7(4)(a)(iv)</t>
        </is>
      </c>
      <c r="D31" s="7" t="inlineStr"/>
      <c r="E31" s="7" t="inlineStr"/>
      <c r="F31" t="inlineStr">
        <is>
          <t>B</t>
        </is>
      </c>
    </row>
    <row r="32">
      <c r="A32" s="7" t="inlineStr">
        <is>
          <t>B6</t>
        </is>
      </c>
      <c r="B32" s="7" t="inlineStr">
        <is>
          <t>Besar/sederhana: Eksekutif Halal memenuhi kelayakan: Muslim, warganegara Malaysia, berjawatan tetap, memiliki Diploma Pengurusan Halal atau setara atau sekurang-kurangnya 5 tahun pengalaman pengurusan halal, dan memegang Sijil Eksekutif Halal daripada Penyedia Latihan Halal yang berdaftar dengan HPB JAKIM.</t>
        </is>
      </c>
      <c r="C32" s="7" t="inlineStr">
        <is>
          <t>MPPHM 3; MHMS 5(3)</t>
        </is>
      </c>
      <c r="D32" s="7" t="inlineStr"/>
      <c r="E32" s="7" t="inlineStr"/>
      <c r="F32" t="inlineStr">
        <is>
          <t>B</t>
        </is>
      </c>
    </row>
    <row r="33">
      <c r="A33" s="7" t="inlineStr">
        <is>
          <t>B7</t>
        </is>
      </c>
      <c r="B33" s="7" t="inlineStr">
        <is>
          <t>Besar/sederhana: Eksekutif Halal dilantik secara rasmi oleh pengurusan atasan daripada kalangan kakitangan berjawatan tetap yang bertugas dalam syarikat. Pengurusan halal ialah tugas hakikinya, dan lantikan atau tugas lain di luar skop pengurusan halal tidak menjejaskan tugas tersebut.</t>
        </is>
      </c>
      <c r="C33" s="7" t="inlineStr">
        <is>
          <t>MHMS 5(3)</t>
        </is>
      </c>
      <c r="D33" s="7" t="inlineStr"/>
      <c r="E33" s="7" t="inlineStr"/>
      <c r="F33" t="inlineStr">
        <is>
          <t>B</t>
        </is>
      </c>
    </row>
    <row r="34">
      <c r="A34" s="7" t="inlineStr">
        <is>
          <t>B8</t>
        </is>
      </c>
      <c r="B34" s="7" t="inlineStr">
        <is>
          <t>Besar/sederhana: Eksekutif Halal melaksanakan tugas dalam huraian tugasnya, cth. menguruskan permohonan SPHM, mengawal dan mengemas kini manual HAS, mengesahkan dokumen dan aktiviti HAS, serta mengetuai atau menganggotai JKHD, dan bukti pelaksanaannya tersedia.</t>
        </is>
      </c>
      <c r="C34" s="7" t="inlineStr">
        <is>
          <t>MHMS 5(3), Lampiran B</t>
        </is>
      </c>
      <c r="D34" s="7" t="inlineStr"/>
      <c r="E34" s="7" t="inlineStr"/>
      <c r="F34" t="inlineStr">
        <is>
          <t>B</t>
        </is>
      </c>
    </row>
    <row r="35">
      <c r="A35" s="7" t="inlineStr">
        <is>
          <t>B9</t>
        </is>
      </c>
      <c r="B35" s="7" t="inlineStr">
        <is>
          <t>Besar/sederhana: Jawatankuasa Halal Dalaman (JKHD) ditubuhkan bagi premis, dan JKHD berasingan ditubuhkan bagi setiap cawangan premis yang mempunyai pengurusan operasi yang berbeza.</t>
        </is>
      </c>
      <c r="C35" s="7" t="inlineStr">
        <is>
          <t>MPPHM 18(6)(i)(i); MHMS 5(4)(h)</t>
        </is>
      </c>
      <c r="D35" s="7" t="inlineStr"/>
      <c r="E35" s="7" t="inlineStr"/>
      <c r="F35" t="inlineStr">
        <is>
          <t>B</t>
        </is>
      </c>
    </row>
    <row r="36">
      <c r="A36" s="7" t="inlineStr">
        <is>
          <t>B10</t>
        </is>
      </c>
      <c r="B36" s="7" t="inlineStr">
        <is>
          <t>Besar/sederhana: JKHD dilantik secara rasmi dan bertulis oleh pengurusan atasan, dengan sekurang-kurangnya 4 ahli berjawatan tetap: Pengerusi, Eksekutif Halal, wakil pembelian atau perolehan, dan wakil bahagian operasi (cth. operasi gudang, pengangkutan atau runcit). Setiap ahli mempunyai huraian tugas bertulis, dan carta organisasi JKHD tersedia.</t>
        </is>
      </c>
      <c r="C36" s="7" t="inlineStr">
        <is>
          <t>MPPHM 3; MHMS 5(4)</t>
        </is>
      </c>
      <c r="D36" s="7" t="inlineStr"/>
      <c r="E36" s="7" t="inlineStr"/>
      <c r="F36" t="inlineStr">
        <is>
          <t>B</t>
        </is>
      </c>
    </row>
    <row r="37">
      <c r="A37" s="7" t="inlineStr">
        <is>
          <t>B11</t>
        </is>
      </c>
      <c r="B37" s="7" t="inlineStr">
        <is>
          <t>Besar/sederhana: Pengerusi JKHD berjawatan setara atau lebih tinggi daripada Eksekutif Halal, kompeten dalam keperluan pensijilan halal, dan diutamakan seorang Muslim.</t>
        </is>
      </c>
      <c r="C37" s="7" t="inlineStr">
        <is>
          <t>MHMS 5(4)</t>
        </is>
      </c>
      <c r="D37" s="7" t="inlineStr"/>
      <c r="E37" s="7" t="inlineStr"/>
      <c r="F37" t="inlineStr">
        <is>
          <t>B</t>
        </is>
      </c>
    </row>
    <row r="38">
      <c r="A38" s="7" t="inlineStr">
        <is>
          <t>B12</t>
        </is>
      </c>
      <c r="B38" s="7" t="inlineStr">
        <is>
          <t>Besar/sederhana: JKHD bermesyuarat sekurang-kurangnya 2 kali setahun dengan agenda halal, minit mesyuarat disimpan, dan JKHD diberi kuasa membuat keputusan berkaitan pengurusan halal.</t>
        </is>
      </c>
      <c r="C38" s="7" t="inlineStr">
        <is>
          <t>MHMS 5(4)</t>
        </is>
      </c>
      <c r="D38" s="7" t="inlineStr"/>
      <c r="E38" s="7" t="inlineStr"/>
      <c r="F38" t="inlineStr">
        <is>
          <t>B</t>
        </is>
      </c>
    </row>
    <row r="39">
      <c r="A39" s="7" t="inlineStr">
        <is>
          <t>B13</t>
        </is>
      </c>
      <c r="B39" s="7" t="inlineStr">
        <is>
          <t>Besar/sederhana: manual HAS dibangunkan mengikut MHMS 2020, didokumenkan berasingan daripada sistem lain, dikemas kini apabila berlaku perubahan dan diluluskan pengurusan atasan. Manual mengandungi profil syarikat, objektif, skop, polisi halal, JKHD dan prosedur audit halal dalaman, kawalan risiko halal, kawalan produk dan barang dagangan yang dikendalikan, latihan halal, kebolehkesanan, semakan HAS, analisis makmal dan sertu.</t>
        </is>
      </c>
      <c r="C39" s="7" t="inlineStr">
        <is>
          <t>MPPHM 17(13)(a), 18(6)(i)(i), 20; MHMS 5(1), 7(4)(a)</t>
        </is>
      </c>
      <c r="D39" s="7" t="inlineStr"/>
      <c r="E39" s="7" t="inlineStr"/>
      <c r="F39" t="inlineStr">
        <is>
          <t>B</t>
        </is>
      </c>
    </row>
    <row r="40">
      <c r="A40" s="7" t="inlineStr">
        <is>
          <t>B14</t>
        </is>
      </c>
      <c r="B40" s="7" t="inlineStr">
        <is>
          <t>Besar/sederhana: kandungan manual HAS bertepatan dengan pelaksanaan sebenar operasi, iaitu kenderaan, lot, cawangan, outlet, aliran kerja dan subkontraktor yang diterangkan sama dengan yang diperhatikan di lapangan.</t>
        </is>
      </c>
      <c r="C40" s="7" t="inlineStr">
        <is>
          <t>MHMS 5(1)</t>
        </is>
      </c>
      <c r="D40" s="7" t="inlineStr"/>
      <c r="E40" s="7" t="inlineStr"/>
      <c r="F40" t="inlineStr">
        <is>
          <t>B</t>
        </is>
      </c>
    </row>
    <row r="41">
      <c r="A41" s="7" t="inlineStr">
        <is>
          <t>B15</t>
        </is>
      </c>
      <c r="B41" s="7" t="inlineStr">
        <is>
          <t>Besar/sederhana: setiap prosedur dalam manual HAS menyatakan tarikh berkuat kuasa, tarikh kemas kini, nama penyedia dan nama pengesah, dan hanya versi terkini digunakan di lokasi operasi.</t>
        </is>
      </c>
      <c r="C41" s="7" t="inlineStr">
        <is>
          <t>MHMS 5(1); MS 2400-1/-2/-3 kl. 4.3*</t>
        </is>
      </c>
      <c r="D41" s="7" t="inlineStr"/>
      <c r="E41" s="7" t="inlineStr"/>
      <c r="F41" t="inlineStr">
        <is>
          <t>B</t>
        </is>
      </c>
    </row>
    <row r="42">
      <c r="A42" s="7" t="inlineStr">
        <is>
          <t>B16</t>
        </is>
      </c>
      <c r="B42" s="7" t="inlineStr">
        <is>
          <t>Kecil: sekurang-kurangnya 1 pekerja Muslim warganegara Malaysia berjawatan tetap ditempatkan di kawasan perkhidmatan logistik sepanjang tempoh operasi atau syif, dan Penyelia Halal (Muslim, warganegara Malaysia, berjawatan tetap) dilantik di premis.</t>
        </is>
      </c>
      <c r="C42" s="7" t="inlineStr">
        <is>
          <t>MPPHM 3, 18(6)(i)(ii)</t>
        </is>
      </c>
      <c r="D42" s="7" t="inlineStr"/>
      <c r="E42" s="7" t="inlineStr"/>
      <c r="F42" t="inlineStr">
        <is>
          <t>B</t>
        </is>
      </c>
    </row>
    <row r="43">
      <c r="A43" s="7" t="inlineStr">
        <is>
          <t>B17</t>
        </is>
      </c>
      <c r="B43" s="7" t="inlineStr">
        <is>
          <t>Mikro: sekurang-kurangnya 1 pekerja Muslim warganegara Malaysia berjawatan tetap bertugas dalam perkhidmatan logistik sepanjang tempoh operasi atau syif.</t>
        </is>
      </c>
      <c r="C43" s="7" t="inlineStr">
        <is>
          <t>MPPHM 18(6)(i)(iii)</t>
        </is>
      </c>
      <c r="D43" s="7" t="inlineStr"/>
      <c r="E43" s="7" t="inlineStr"/>
      <c r="F43" t="inlineStr">
        <is>
          <t>B</t>
        </is>
      </c>
    </row>
    <row r="44">
      <c r="A44" s="7" t="inlineStr">
        <is>
          <t>B18</t>
        </is>
      </c>
      <c r="B44" s="7" t="inlineStr">
        <is>
          <t>Kecil/mikro: IHCS dilaksanakan dan mengandungi sekurang-kurangnya polisi halal, prosedur kawalan risiko halal dan prosedur kebolehkesanan.</t>
        </is>
      </c>
      <c r="C44" s="7" t="inlineStr">
        <is>
          <t>MPPHM 17(13)(a), 18(6)(i)(ii), 18(6)(i)(iii), 19; MHMS 6, 7(4)(b)</t>
        </is>
      </c>
      <c r="D44" s="7" t="inlineStr"/>
      <c r="E44" s="7" t="inlineStr"/>
      <c r="F44" t="inlineStr">
        <is>
          <t>B</t>
        </is>
      </c>
    </row>
    <row r="45">
      <c r="A45" s="7" t="inlineStr">
        <is>
          <t>B19</t>
        </is>
      </c>
      <c r="B45" s="7" t="inlineStr">
        <is>
          <t>Setiap perubahan (kenderaan, lot, cawangan atau outlet baharu, pertukaran pekerja Muslim atau Eksekutif Halal, subkontraktor atau pelanggan baharu, perubahan proses) dinilai risiko halalnya sebelum dilaksanakan, dan maklumat dalam MYeHALAL dikemas kini.</t>
        </is>
      </c>
      <c r="C45" s="7" t="inlineStr">
        <is>
          <t>MPPHM 18(6)(g), 60; MS 2400-1/-2/-3 kl. 8*</t>
        </is>
      </c>
      <c r="D45" s="7" t="inlineStr"/>
      <c r="E45" s="7" t="inlineStr"/>
      <c r="F45" t="inlineStr">
        <is>
          <t>B</t>
        </is>
      </c>
    </row>
    <row r="46">
      <c r="A46" s="7" t="inlineStr">
        <is>
          <t>B20</t>
        </is>
      </c>
      <c r="B46" s="7" t="inlineStr">
        <is>
          <t>Rekod pemantauan berterusan (cth. pemeriksaan berkala oleh Eksekutif atau Penyelia Halal di gudang, depoh dan outlet) menunjukkan kawalan halal dilaksanakan secara konsisten.</t>
        </is>
      </c>
      <c r="C46" s="7" t="inlineStr">
        <is>
          <t>MPPHM 17(13)(b), 17(2)(d)</t>
        </is>
      </c>
      <c r="D46" s="7" t="inlineStr"/>
      <c r="E46" s="7" t="inlineStr"/>
      <c r="F46" t="inlineStr">
        <is>
          <t>B</t>
        </is>
      </c>
    </row>
    <row r="47">
      <c r="A47" s="7" t="inlineStr">
        <is>
          <t>B21</t>
        </is>
      </c>
      <c r="B47" s="7" t="inlineStr">
        <is>
          <t>Salinan pekeliling, garis panduan dan fatwa halal terkini yang berkaitan dengan perkhidmatan logistik disimpan, dan perubahan yang dikehendaki telah dilaksanakan.</t>
        </is>
      </c>
      <c r="C47" s="7" t="inlineStr">
        <is>
          <t>MPPHM 17(16)(b)</t>
        </is>
      </c>
      <c r="D47" s="7" t="inlineStr"/>
      <c r="E47" s="7" t="inlineStr"/>
      <c r="F47" t="inlineStr">
        <is>
          <t>B</t>
        </is>
      </c>
    </row>
    <row r="48">
      <c r="A48" s="4" t="inlineStr">
        <is>
          <t>Bahagian C: Pelan Pengurusan Risiko Halal &amp; Sistem Maklumat</t>
        </is>
      </c>
      <c r="B48" s="5" t="n"/>
      <c r="C48" s="5" t="n"/>
      <c r="D48" s="5" t="n"/>
      <c r="E48" s="6" t="n"/>
    </row>
    <row r="49" ht="26" customHeight="1">
      <c r="A49" s="2" t="inlineStr">
        <is>
          <t>Semak prosedur kawalan risiko halal, carta alir, analisis HCP dan pelan pengurusan risiko halal, kemudian sahkan pelaksanaannya melalui rekod pemantauan dan sistem maklumat syarikat.</t>
        </is>
      </c>
    </row>
    <row r="50">
      <c r="A50" s="7" t="inlineStr">
        <is>
          <t>C1</t>
        </is>
      </c>
      <c r="B50" s="7" t="inlineStr">
        <is>
          <t>Pasukan yang membangunkan dan mengemas kini pelan pengurusan risiko halal ditetapkan (cth. JKHD atau pasukan yang dilantik), dan ahlinya memahami operasi logistik serta keperluan halal.</t>
        </is>
      </c>
      <c r="C50" s="7" t="inlineStr">
        <is>
          <t>MS 2400-1/-2/-3 kl. 5*</t>
        </is>
      </c>
      <c r="D50" s="7" t="inlineStr"/>
      <c r="E50" s="7" t="inlineStr"/>
      <c r="F50" t="inlineStr">
        <is>
          <t>C</t>
        </is>
      </c>
    </row>
    <row r="51">
      <c r="A51" s="7" t="inlineStr">
        <is>
          <t>C2</t>
        </is>
      </c>
      <c r="B51" s="7" t="inlineStr">
        <is>
          <t>Produk, barangan atau kargo yang dikendalikan diterangkan: kategori, status halal (dipersijilkan atau halal tidak dipersijilkan), keperluan suhu, jenis pembungkusan (berbungkus, pukal atau terbuka) dan risiko pencemarannya.</t>
        </is>
      </c>
      <c r="C51" s="7" t="inlineStr">
        <is>
          <t>MS 2400-1/-2/-3 kl. 5*</t>
        </is>
      </c>
      <c r="D51" s="7" t="inlineStr"/>
      <c r="E51" s="7" t="inlineStr"/>
      <c r="F51" t="inlineStr">
        <is>
          <t>C</t>
        </is>
      </c>
    </row>
    <row r="52">
      <c r="A52" s="7" t="inlineStr">
        <is>
          <t>C3</t>
        </is>
      </c>
      <c r="B52" s="7" t="inlineStr">
        <is>
          <t>Carta alir perkhidmatan (cth. penerimaan, penyimpanan, pengambilan, penyediaan dan penghantaran, pengangkutan, penyerahan) dan pelan lantai disediakan dan disahkan di lapangan. Bagi peruncitan, carta alir meliputi proses runcit dari penerimaan barang hingga kaunter bayaran.</t>
        </is>
      </c>
      <c r="C52" s="7" t="inlineStr">
        <is>
          <t>MS 2400-1/-2/-3 kl. 5*; MS 2400-3 Lampiran D*; MHMS 5(6)</t>
        </is>
      </c>
      <c r="D52" s="7" t="inlineStr"/>
      <c r="E52" s="7" t="inlineStr"/>
      <c r="F52" t="inlineStr">
        <is>
          <t>C</t>
        </is>
      </c>
    </row>
    <row r="53">
      <c r="A53" s="7" t="inlineStr">
        <is>
          <t>C4</t>
        </is>
      </c>
      <c r="B53" s="7" t="inlineStr">
        <is>
          <t>Titik kawalan halal (HCP) dikenal pasti berdasarkan carta alir dan pelan lantai, dan merangkumi penerimaan, penyimpanan, aktiviti nilai tambah, penyediaan dan penghantaran, pengangkutan, premis dan peralatan, pekerja, pembungkusan serta perkhidmatan pihak ketiga.</t>
        </is>
      </c>
      <c r="C53" s="7" t="inlineStr">
        <is>
          <t>MHMS 5(6); MS 2400-1/-2/-3 kl. 6*</t>
        </is>
      </c>
      <c r="D53" s="7" t="inlineStr"/>
      <c r="E53" s="7" t="inlineStr"/>
      <c r="F53" t="inlineStr">
        <is>
          <t>C</t>
        </is>
      </c>
    </row>
    <row r="54">
      <c r="A54" s="7" t="inlineStr">
        <is>
          <t>C5</t>
        </is>
      </c>
      <c r="B54" s="7" t="inlineStr">
        <is>
          <t>Analisis HCP direkodkan dalam lembaran kerja, dengan penilaian kebarangkalian, keterukan dan pemeringkatan risiko bagi setiap bahaya halal (rujuk contoh dalam Lampiran A dan jadual dalam Lampiran B MS 2400).</t>
        </is>
      </c>
      <c r="C54" s="7" t="inlineStr">
        <is>
          <t>MS 2400-1/-2/-3 kl. 6*, Lampiran A*, Lampiran B*</t>
        </is>
      </c>
      <c r="D54" s="7" t="inlineStr"/>
      <c r="E54" s="7" t="inlineStr"/>
      <c r="F54" t="inlineStr">
        <is>
          <t>C</t>
        </is>
      </c>
    </row>
    <row r="55">
      <c r="A55" s="7" t="inlineStr">
        <is>
          <t>C6</t>
        </is>
      </c>
      <c r="B55" s="7" t="inlineStr">
        <is>
          <t>Pelan pengurusan risiko halal menyatakan risiko halal, kaedah kawalan, kekerapan, PIC, tindakan pembetulan dan rekod bagi setiap HCP. Pelan ini didokumenkan berasingan daripada sistem lain (cth. HACCP, ISO 22000 atau ISO 9001).</t>
        </is>
      </c>
      <c r="C55" s="7" t="inlineStr">
        <is>
          <t>MHMS 5(6); MS 2400-1/-2/-3 kl. 6*</t>
        </is>
      </c>
      <c r="D55" s="7" t="inlineStr"/>
      <c r="E55" s="7" t="inlineStr"/>
      <c r="F55" t="inlineStr">
        <is>
          <t>C</t>
        </is>
      </c>
    </row>
    <row r="56">
      <c r="A56" s="7" t="inlineStr">
        <is>
          <t>C7</t>
        </is>
      </c>
      <c r="B56" s="7" t="inlineStr">
        <is>
          <t>Ringkasan pelan pengurusan risiko halal disediakan (rujuk contoh dalam Lampiran C MS 2400) dan tersedia di lokasi operasi.</t>
        </is>
      </c>
      <c r="C56" s="7" t="inlineStr">
        <is>
          <t>MS 2400-1/-2/-3 kl. 4.4*, Lampiran C*</t>
        </is>
      </c>
      <c r="D56" s="7" t="inlineStr"/>
      <c r="E56" s="7" t="inlineStr"/>
      <c r="F56" t="inlineStr">
        <is>
          <t>C</t>
        </is>
      </c>
    </row>
    <row r="57">
      <c r="A57" s="7" t="inlineStr">
        <is>
          <t>C8</t>
        </is>
      </c>
      <c r="B57" s="7" t="inlineStr">
        <is>
          <t>Prosedur kawalan risiko halal bagi aktiviti tambahan di gudang dan/atau runcit (cross-docking, pecah pukal, konsolidasi dan sebagainya) dibangunkan dan dilaksanakan.</t>
        </is>
      </c>
      <c r="C57" s="7" t="inlineStr">
        <is>
          <t>MHMS 7(4)(a)(i), 7(4)(b)(ii)</t>
        </is>
      </c>
      <c r="D57" s="7" t="inlineStr"/>
      <c r="E57" s="7" t="inlineStr"/>
      <c r="F57" t="inlineStr">
        <is>
          <t>C</t>
        </is>
      </c>
    </row>
    <row r="58">
      <c r="A58" s="7" t="inlineStr">
        <is>
          <t>C9</t>
        </is>
      </c>
      <c r="B58" s="7" t="inlineStr">
        <is>
          <t>Prosedur kawalan risiko halal bagi kontrak pihak ketiga (subkontraktor pengangkutan, gudang atau ejen) dibangunkan dan dilaksanakan (jika berkaitan).</t>
        </is>
      </c>
      <c r="C58" s="7" t="inlineStr">
        <is>
          <t>MHMS 7(4)(a)(ii), 7(4)(b)(ii)</t>
        </is>
      </c>
      <c r="D58" s="7" t="inlineStr"/>
      <c r="E58" s="7" t="inlineStr"/>
      <c r="F58" t="inlineStr">
        <is>
          <t>C</t>
        </is>
      </c>
    </row>
    <row r="59">
      <c r="A59" s="7" t="inlineStr">
        <is>
          <t>C10</t>
        </is>
      </c>
      <c r="B59" s="7" t="inlineStr">
        <is>
          <t>Peruncitan: prosedur kawalan halal bagi penerimaan atau pemilihan produk dagangan dibangunkan, beserta senarai produk dengan kawalan risiko halal yang lengkap.</t>
        </is>
      </c>
      <c r="C59" s="7" t="inlineStr">
        <is>
          <t>MHMS 7(4)(a)(iii), 7(4)(b)(ii)</t>
        </is>
      </c>
      <c r="D59" s="7" t="inlineStr"/>
      <c r="E59" s="7" t="inlineStr"/>
      <c r="F59" t="inlineStr">
        <is>
          <t>C</t>
        </is>
      </c>
    </row>
    <row r="60">
      <c r="A60" s="7" t="inlineStr">
        <is>
          <t>C11</t>
        </is>
      </c>
      <c r="B60" s="7" t="inlineStr">
        <is>
          <t>Rekod pemantauan HCP (cth. pemeriksaan kebersihan kenderaan, pemeriksaan meterai, semakan lot dan suhu) lengkap, dibuat mengikut kekerapan yang ditetapkan dan ditandatangani PIC.</t>
        </is>
      </c>
      <c r="C60" s="7" t="inlineStr">
        <is>
          <t>MHMS 5(6); MS 2400-1/-2/-3 kl. 6*</t>
        </is>
      </c>
      <c r="D60" s="7" t="inlineStr"/>
      <c r="E60" s="7" t="inlineStr"/>
      <c r="F60" t="inlineStr">
        <is>
          <t>C</t>
        </is>
      </c>
    </row>
    <row r="61">
      <c r="A61" s="7" t="inlineStr">
        <is>
          <t>C12</t>
        </is>
      </c>
      <c r="B61" s="7" t="inlineStr">
        <is>
          <t>Apabila kawalan HCP gagal atau berlaku ketidakakuran (cth. salah muat, pencemaran, meterai rosak), produk ditahan dan dinilai, punca disiasat, dan tindakan pembetulan serta keputusan pelepasan direkodkan.</t>
        </is>
      </c>
      <c r="C61" s="7" t="inlineStr">
        <is>
          <t>MHMS 5(6); MS 2400-1/-2/-3 kl. 6*</t>
        </is>
      </c>
      <c r="D61" s="7" t="inlineStr"/>
      <c r="E61" s="7" t="inlineStr"/>
      <c r="F61" t="inlineStr">
        <is>
          <t>C</t>
        </is>
      </c>
    </row>
    <row r="62">
      <c r="A62" s="7" t="inlineStr">
        <is>
          <t>C13</t>
        </is>
      </c>
      <c r="B62" s="7" t="inlineStr">
        <is>
          <t>Insiden yang boleh menjejaskan status halal produk atau kargo (cth. pencemaran, meterai rosak, muatan bercampur, pemindahan muatan semasa kecemasan) dimaklumkan dengan segera kepada pemilik kargo atau pelanggan yang berkaitan, dan rekod pemakluman disimpan.</t>
        </is>
      </c>
      <c r="C62" s="7" t="inlineStr">
        <is>
          <t>MS 2400-1/-2/-3 kl. 4.5*; MHMS 5(9)</t>
        </is>
      </c>
      <c r="D62" s="7" t="inlineStr"/>
      <c r="E62" s="7" t="inlineStr"/>
      <c r="F62" t="inlineStr">
        <is>
          <t>C</t>
        </is>
      </c>
    </row>
    <row r="63">
      <c r="A63" s="7" t="inlineStr">
        <is>
          <t>C14</t>
        </is>
      </c>
      <c r="B63" s="7" t="inlineStr">
        <is>
          <t>Keberkesanan pelan pengurusan risiko halal disahkan secara berkala, dan pelan dikaji semula apabila berlaku perubahan (pelanggan, jenis kargo, laluan, premis atau subkontraktor).</t>
        </is>
      </c>
      <c r="C63" s="7" t="inlineStr">
        <is>
          <t>MS 2400-1/-2/-3 kl. 6*, kl. 8*</t>
        </is>
      </c>
      <c r="D63" s="7" t="inlineStr"/>
      <c r="E63" s="7" t="inlineStr"/>
      <c r="F63" t="inlineStr">
        <is>
          <t>C</t>
        </is>
      </c>
    </row>
    <row r="64">
      <c r="A64" s="7" t="inlineStr">
        <is>
          <t>C15</t>
        </is>
      </c>
      <c r="B64" s="7" t="inlineStr">
        <is>
          <t>Sistem maklumat dan komunikasi memastikan status halal produk atau kargo direkodkan dan disampaikan sepanjang rantaian (pelanggan, gudang, pengangkut, subkontraktor dan outlet), termasuk dalam pertukaran data elektronik.</t>
        </is>
      </c>
      <c r="C64" s="7" t="inlineStr">
        <is>
          <t>MS 2400-1/-2/-3 kl. 4.5*</t>
        </is>
      </c>
      <c r="D64" s="7" t="inlineStr"/>
      <c r="E64" s="7" t="inlineStr"/>
      <c r="F64" t="inlineStr">
        <is>
          <t>C</t>
        </is>
      </c>
    </row>
    <row r="65">
      <c r="A65" s="7" t="inlineStr">
        <is>
          <t>C16</t>
        </is>
      </c>
      <c r="B65" s="7" t="inlineStr">
        <is>
          <t>Prosedur kecemasan (cth. kerosakan kenderaan atau unit penyejuk, kemalangan, tumpahan, banjir, gangguan bekalan elektrik) menyatakan cara mengekalkan integriti halal produk, termasuk memindahkan produk hanya ke kenderaan atau lokasi yang dibenarkan.</t>
        </is>
      </c>
      <c r="C65" s="7" t="inlineStr">
        <is>
          <t>MS 2400-1/-2/-3 kl. 6*</t>
        </is>
      </c>
      <c r="D65" s="7" t="inlineStr"/>
      <c r="E65" s="7" t="inlineStr"/>
      <c r="F65" t="inlineStr">
        <is>
          <t>C</t>
        </is>
      </c>
    </row>
    <row r="66">
      <c r="A66" s="4" t="inlineStr">
        <is>
          <t>Bahagian D: Produk, Kargo, Bahan Guna Habis &amp; Subkontraktor</t>
        </is>
      </c>
      <c r="B66" s="5" t="n"/>
      <c r="C66" s="5" t="n"/>
      <c r="D66" s="5" t="n"/>
      <c r="E66" s="6" t="n"/>
    </row>
    <row r="67" ht="26" customHeight="1">
      <c r="A67" s="2" t="inlineStr">
        <is>
          <t>Semak senarai induk produk, dokumen status halal kargo dan kontrak subkontraktor, kemudian padankan dengan barang sebenar di kawasan penerimaan dan dengan subkontraktor yang digunakan.</t>
        </is>
      </c>
    </row>
    <row r="68">
      <c r="A68" s="7" t="inlineStr">
        <is>
          <t>D1</t>
        </is>
      </c>
      <c r="B68" s="7" t="inlineStr">
        <is>
          <t>Senarai induk produk yang dikendalikan di lot, kenderaan atau seksyen yang dipersijilkan lengkap dan terkini: nama produk, jenama, nama dan alamat pengeluar, pembekal atau pemilik kargo, status halal, badan pensijilan dan tarikh luput sijil, serta dokumen sokongan.</t>
        </is>
      </c>
      <c r="C68" s="7" t="inlineStr">
        <is>
          <t>MHMS 5(7), 7(4)(a)(iii)</t>
        </is>
      </c>
      <c r="D68" s="7" t="inlineStr"/>
      <c r="E68" s="7" t="inlineStr"/>
      <c r="F68" t="inlineStr">
        <is>
          <t>D</t>
        </is>
      </c>
    </row>
    <row r="69">
      <c r="A69" s="7" t="inlineStr">
        <is>
          <t>D2</t>
        </is>
      </c>
      <c r="B69" s="7" t="inlineStr">
        <is>
          <t>Senarai induk turut merangkumi bahan guna habis dan bahan kimia yang digunakan dalam operasi halal (cth. bahan pencuci, sanitizer, bahan sertu, ais kering, pek sejuk, filem regang), bersama status halal dan dokumen sokongannya, dan dikemas kini apabila berlaku perubahan.</t>
        </is>
      </c>
      <c r="C69" s="7" t="inlineStr">
        <is>
          <t>MHMS 5(7)</t>
        </is>
      </c>
      <c r="D69" s="7" t="inlineStr"/>
      <c r="E69" s="7" t="inlineStr"/>
      <c r="F69" t="inlineStr">
        <is>
          <t>D</t>
        </is>
      </c>
    </row>
    <row r="70">
      <c r="A70" s="7" t="inlineStr">
        <is>
          <t>D3</t>
        </is>
      </c>
      <c r="B70" s="7" t="inlineStr">
        <is>
          <t>Pengangkutan dan pergudangan: status halal kargo diperoleh daripada pelanggan sebelum tempahan diterima (cth. melalui borang tempahan atau terma perkhidmatan), dan tempahan bagi produk najis mughallazah ditolak.</t>
        </is>
      </c>
      <c r="C70" s="7" t="inlineStr">
        <is>
          <t>MPPHM 18(6)(j)(i), 18(6)(k)(i); MS 2400-1/-2 kl. 4.5*</t>
        </is>
      </c>
      <c r="D70" s="7" t="inlineStr"/>
      <c r="E70" s="7" t="inlineStr"/>
      <c r="F70" t="inlineStr">
        <is>
          <t>D</t>
        </is>
      </c>
    </row>
    <row r="71">
      <c r="A71" s="7" t="inlineStr">
        <is>
          <t>D4</t>
        </is>
      </c>
      <c r="B71" s="7" t="inlineStr">
        <is>
          <t>Prosedur penerimaan dilaksanakan: sijil halal, logo halal pada label dan dokumen penghantaran disemak sebelum produk diterima ke lot atau seksyen yang dipersijilkan atau dimuat ke kenderaan yang dipersijilkan, dan rekod semakan disimpan.</t>
        </is>
      </c>
      <c r="C71" s="7" t="inlineStr">
        <is>
          <t>MHMS 5(7); MPPHM 17(1)(a)</t>
        </is>
      </c>
      <c r="D71" s="7" t="inlineStr"/>
      <c r="E71" s="7" t="inlineStr"/>
      <c r="F71" t="inlineStr">
        <is>
          <t>D</t>
        </is>
      </c>
    </row>
    <row r="72">
      <c r="A72" s="7" t="inlineStr">
        <is>
          <t>D5</t>
        </is>
      </c>
      <c r="B72" s="7" t="inlineStr">
        <is>
          <t>Produk yang diperihalkan halal mempunyai SPHM yang sah daripada JAKIM/JAIN/MAIN, atau sijil daripada badan pensijilan halal luar negara yang diiktiraf JAKIM.</t>
        </is>
      </c>
      <c r="C72" s="7" t="inlineStr">
        <is>
          <t>MPPHM 17(1)(b); Perintah Perakuan &amp; Penandaan Halal 2011 perenggan 3, 5</t>
        </is>
      </c>
      <c r="D72" s="7" t="inlineStr"/>
      <c r="E72" s="7" t="inlineStr"/>
      <c r="F72" t="inlineStr">
        <is>
          <t>D</t>
        </is>
      </c>
    </row>
    <row r="73">
      <c r="A73" s="7" t="inlineStr">
        <is>
          <t>D6</t>
        </is>
      </c>
      <c r="B73" s="7" t="inlineStr">
        <is>
          <t>Produk import yang bergantung pada sijil halal luar negara ditanda dengan nama badan pensijilan halal luar negara yang diiktiraf JAKIM.</t>
        </is>
      </c>
      <c r="C73" s="7" t="inlineStr">
        <is>
          <t>Perintah Perakuan &amp; Penandaan Halal 2011 perenggan 5</t>
        </is>
      </c>
      <c r="D73" s="7" t="inlineStr"/>
      <c r="E73" s="7" t="inlineStr"/>
      <c r="F73" t="inlineStr">
        <is>
          <t>D</t>
        </is>
      </c>
    </row>
    <row r="74">
      <c r="A74" s="7" t="inlineStr">
        <is>
          <t>D7</t>
        </is>
      </c>
      <c r="B74" s="7" t="inlineStr">
        <is>
          <t>Daging dan hasilan daging import (jika dikendalikan) berasal dari loji sembelihan atau pemprosesan yang diluluskan JPV dan mempunyai sijil halal yang diiktiraf.</t>
        </is>
      </c>
      <c r="C74" s="7" t="inlineStr">
        <is>
          <t>MPPHM 17(1)(b), 17(1)(c)</t>
        </is>
      </c>
      <c r="D74" s="7" t="inlineStr"/>
      <c r="E74" s="7" t="inlineStr"/>
      <c r="F74" t="inlineStr">
        <is>
          <t>D</t>
        </is>
      </c>
    </row>
    <row r="75">
      <c r="A75" s="7" t="inlineStr">
        <is>
          <t>D8</t>
        </is>
      </c>
      <c r="B75" s="7" t="inlineStr">
        <is>
          <t>Produk halal yang tidak dipersijilkan (cth. sayur, buah atau ikan segar) yang dibenarkan masuk ke lot halal mempunyai dokumen sumber dan pembekal yang jelas.</t>
        </is>
      </c>
      <c r="C75" s="7" t="inlineStr">
        <is>
          <t>MPPHM 18(6)(k)(v), 17(1)(d)</t>
        </is>
      </c>
      <c r="D75" s="7" t="inlineStr"/>
      <c r="E75" s="7" t="inlineStr"/>
      <c r="F75" t="inlineStr">
        <is>
          <t>D</t>
        </is>
      </c>
    </row>
    <row r="76">
      <c r="A76" s="7" t="inlineStr">
        <is>
          <t>D9</t>
        </is>
      </c>
      <c r="B76" s="7" t="inlineStr">
        <is>
          <t>Produk berbungkus dilabel dengan nama dan alamat pengeluar, dan pengeluar asalnya dapat dikenal pasti. Produk berbungkus tanpa label, atau yang pengeluarnya tidak dapat dikenal pasti, tidak diterima ke lot, kenderaan atau seksyen yang dipersijilkan.</t>
        </is>
      </c>
      <c r="C76" s="7" t="inlineStr">
        <is>
          <t>MPPHM 17(1)(e), 17(1)(h)</t>
        </is>
      </c>
      <c r="D76" s="7" t="inlineStr"/>
      <c r="E76" s="7" t="inlineStr"/>
      <c r="F76" t="inlineStr">
        <is>
          <t>D</t>
        </is>
      </c>
    </row>
    <row r="77">
      <c r="A77" s="7" t="inlineStr">
        <is>
          <t>D10</t>
        </is>
      </c>
      <c r="B77" s="7" t="inlineStr">
        <is>
          <t>Produk yang diragui status halalnya (syubhah), cth. tiada sijil, logo halal yang tidak dikenali, sijil tamat tempoh atau label rosak, tidak diterima, atau ditahan di kawasan kuarantin sehingga statusnya disahkan.</t>
        </is>
      </c>
      <c r="C77" s="7" t="inlineStr">
        <is>
          <t>MHMS 5(7); MPPHM 17(1)(a)</t>
        </is>
      </c>
      <c r="D77" s="7" t="inlineStr"/>
      <c r="E77" s="7" t="inlineStr"/>
      <c r="F77" t="inlineStr">
        <is>
          <t>D</t>
        </is>
      </c>
    </row>
    <row r="78">
      <c r="A78" s="7" t="inlineStr">
        <is>
          <t>D11</t>
        </is>
      </c>
      <c r="B78" s="7" t="inlineStr">
        <is>
          <t>Produk yang dibungkus semula, dipecah pukal atau dilabel semula oleh syarikat (jika ada) mempunyai sijil halal yang sah dan dokumen sumber yang jelas.</t>
        </is>
      </c>
      <c r="C78" s="7" t="inlineStr">
        <is>
          <t>MPPHM 5(11); MHMS 7(4)(a)(i)</t>
        </is>
      </c>
      <c r="D78" s="7" t="inlineStr"/>
      <c r="E78" s="7" t="inlineStr"/>
      <c r="F78" t="inlineStr">
        <is>
          <t>D</t>
        </is>
      </c>
    </row>
    <row r="79">
      <c r="A79" s="7" t="inlineStr">
        <is>
          <t>D12</t>
        </is>
      </c>
      <c r="B79" s="7" t="inlineStr">
        <is>
          <t>Produk yang telah menjalani proses tambahan oleh pihak ketiga, termasuk pembekal atau perantara (cth. dipotong, dicampur atau dibungkus semula sebelum dibekalkan), memiliki sijil halal yang sah.</t>
        </is>
      </c>
      <c r="C79" s="7" t="inlineStr">
        <is>
          <t>MPPHM 17(1)(f)</t>
        </is>
      </c>
      <c r="D79" s="7" t="inlineStr"/>
      <c r="E79" s="7" t="inlineStr"/>
      <c r="F79" t="inlineStr">
        <is>
          <t>D</t>
        </is>
      </c>
    </row>
    <row r="80">
      <c r="A80" s="7" t="inlineStr">
        <is>
          <t>D13</t>
        </is>
      </c>
      <c r="B80" s="7" t="inlineStr">
        <is>
          <t>Bahan guna habis yang bersentuhan dengan produk atau bungkusannya (cth. palet, filem regang, kertas pelapik, kotak, label, ais kering, pek sejuk) halal, bersih, tidak tercemar najis dan selamat.</t>
        </is>
      </c>
      <c r="C80" s="7" t="inlineStr">
        <is>
          <t>MPPHM 17(1)(a), 17(6)(a)</t>
        </is>
      </c>
      <c r="D80" s="7" t="inlineStr"/>
      <c r="E80" s="7" t="inlineStr"/>
      <c r="F80" t="inlineStr">
        <is>
          <t>D</t>
        </is>
      </c>
    </row>
    <row r="81">
      <c r="A81" s="7" t="inlineStr">
        <is>
          <t>D14</t>
        </is>
      </c>
      <c r="B81" s="7" t="inlineStr">
        <is>
          <t>Senarai subkontraktor yang diluluskan (pengangkut, gudang, ejen, pembersihan dan kawalan perosak) tersedia, dan keutamaan diberi kepada penyedia perkhidmatan logistik yang memegang SPHM.</t>
        </is>
      </c>
      <c r="C81" s="7" t="inlineStr">
        <is>
          <t>MPPHM 17(4)(h), 17(7)(d); MHMS 5(6)(c); MS 2400-1/-2/-3 (klausa 'outsource, service providers/subcontractors control')*</t>
        </is>
      </c>
      <c r="D81" s="7" t="inlineStr"/>
      <c r="E81" s="7" t="inlineStr"/>
      <c r="F81" t="inlineStr">
        <is>
          <t>D</t>
        </is>
      </c>
    </row>
    <row r="82">
      <c r="A82" s="7" t="inlineStr">
        <is>
          <t>D15</t>
        </is>
      </c>
      <c r="B82" s="7" t="inlineStr">
        <is>
          <t>Kontrak bertulis dengan setiap subkontraktor pengangkutan dan penyimpanan tersedia dan menyatakan keperluan halal (produk halal sahaja, tiada najis mughallazah, pembersihan dan sertu, pengasingan, rekod) serta hak syarikat untuk memeriksa.</t>
        </is>
      </c>
      <c r="C82" s="7" t="inlineStr">
        <is>
          <t>MPPHM 17(4)(h), 17(7)(d); MHMS 7(4)(a)(ii)</t>
        </is>
      </c>
      <c r="D82" s="7" t="inlineStr"/>
      <c r="E82" s="7" t="inlineStr"/>
      <c r="F82" t="inlineStr">
        <is>
          <t>D</t>
        </is>
      </c>
    </row>
    <row r="83">
      <c r="A83" s="7" t="inlineStr">
        <is>
          <t>D16</t>
        </is>
      </c>
      <c r="B83" s="7" t="inlineStr">
        <is>
          <t>Kenderaan atau stor subkontraktor yang tidak memegang SPHM dinilai sebelum digunakan (kebersihan, sejarah muatan, pengasingan), dan prestasi semua subkontraktor dipantau (cth. audit pembekal, semakan rekod pembersihan).</t>
        </is>
      </c>
      <c r="C83" s="7" t="inlineStr">
        <is>
          <t>MHMS 5(5), 7(4)(a)(ii); MS 2400-1/-2/-3 (klausa 'outsource, service providers/subcontractors control')*</t>
        </is>
      </c>
      <c r="D83" s="7" t="inlineStr"/>
      <c r="E83" s="7" t="inlineStr"/>
      <c r="F83" t="inlineStr">
        <is>
          <t>D</t>
        </is>
      </c>
    </row>
    <row r="84">
      <c r="A84" s="4" t="inlineStr">
        <is>
          <t>Bahagian E: Premis, Infrastruktur &amp; Persekitaran</t>
        </is>
      </c>
      <c r="B84" s="5" t="n"/>
      <c r="C84" s="5" t="n"/>
      <c r="D84" s="5" t="n"/>
      <c r="E84" s="6" t="n"/>
    </row>
    <row r="85" ht="26" customHeight="1">
      <c r="A85" s="2" t="inlineStr">
        <is>
          <t>Dengan merujuk pelan lantai, periksa sekeliling dan bahagian dalam premis (gudang, depoh kenderaan, pusat pengedaran, outlet runcit, pejabat dan kemudahan pekerja) untuk menilai lokasi, susun atur dan kawalan pencemaran.</t>
        </is>
      </c>
    </row>
    <row r="86">
      <c r="A86" s="7" t="inlineStr">
        <is>
          <t>E1</t>
        </is>
      </c>
      <c r="B86" s="7" t="inlineStr">
        <is>
          <t>Pencemaran daripada sumber di sekitar premis (cth. ladang ternakan babi, loji kumbahan, premis pemprosesan tidak halal, premis jiran) dikawal dengan berkesan.</t>
        </is>
      </c>
      <c r="C86" s="7" t="inlineStr">
        <is>
          <t>MPPHM 17(8)(b); MS 2400-1/-2/-3 kl. 7*</t>
        </is>
      </c>
      <c r="D86" s="7" t="inlineStr"/>
      <c r="E86" s="7" t="inlineStr"/>
      <c r="F86" t="inlineStr">
        <is>
          <t>E</t>
        </is>
      </c>
    </row>
    <row r="87">
      <c r="A87" s="7" t="inlineStr">
        <is>
          <t>E2</t>
        </is>
      </c>
      <c r="B87" s="7" t="inlineStr">
        <is>
          <t>Premis berpagar atau dikawal daripada haiwan peliharaan dan liar, serangga dan perosak, dan tiada anjing (termasuk anjing pengawal keselamatan) dipelihara atau berkeliaran di kawasan premis.</t>
        </is>
      </c>
      <c r="C87" s="7" t="inlineStr">
        <is>
          <t>MPPHM 17(8)(c); MS 2400-1/-2/-3 kl. 4.1*</t>
        </is>
      </c>
      <c r="D87" s="7" t="inlineStr"/>
      <c r="E87" s="7" t="inlineStr"/>
      <c r="F87" t="inlineStr">
        <is>
          <t>E</t>
        </is>
      </c>
    </row>
    <row r="88">
      <c r="A88" s="7" t="inlineStr">
        <is>
          <t>E3</t>
        </is>
      </c>
      <c r="B88" s="7" t="inlineStr">
        <is>
          <t>Pelan lantai terkini tersedia dan menunjukkan lot atau zon halal, zon yang tidak dipersijilkan, kawasan kuarantin, kawasan basuhan atau sertu, serta laluan pergerakan. Susun atur mencegah pencemaran silang dan memudahkan pembersihan.</t>
        </is>
      </c>
      <c r="C88" s="7" t="inlineStr">
        <is>
          <t>MPPHM 17(8)(j); MHMS 5(6); MS 2400-1/-2/-3 kl. 7*</t>
        </is>
      </c>
      <c r="D88" s="7" t="inlineStr"/>
      <c r="E88" s="7" t="inlineStr"/>
      <c r="F88" t="inlineStr">
        <is>
          <t>E</t>
        </is>
      </c>
    </row>
    <row r="89">
      <c r="A89" s="7" t="inlineStr">
        <is>
          <t>E4</t>
        </is>
      </c>
      <c r="B89" s="7" t="inlineStr">
        <is>
          <t>Premis dalam keadaan baik, bersih dan teratur, termasuk lantai, dinding, siling, kipas, penghawa dingin, tingkap dan pintu (termasuk pintu dok).</t>
        </is>
      </c>
      <c r="C89" s="7" t="inlineStr">
        <is>
          <t>MPPHM 17(8)(d), 17(8)(e)</t>
        </is>
      </c>
      <c r="D89" s="7" t="inlineStr"/>
      <c r="E89" s="7" t="inlineStr"/>
      <c r="F89" t="inlineStr">
        <is>
          <t>E</t>
        </is>
      </c>
    </row>
    <row r="90">
      <c r="A90" s="7" t="inlineStr">
        <is>
          <t>E5</t>
        </is>
      </c>
      <c r="B90" s="7" t="inlineStr">
        <is>
          <t>Pengudaraan dan pencahayaan mencukupi, dan lampu di kawasan pengendalian produk terbuka (cth. kawasan pembungkusan semula) bersih, berfungsi dan bertutup.</t>
        </is>
      </c>
      <c r="C90" s="7" t="inlineStr">
        <is>
          <t>MPPHM 17(8)(g), 17(8)(h)</t>
        </is>
      </c>
      <c r="D90" s="7" t="inlineStr"/>
      <c r="E90" s="7" t="inlineStr"/>
      <c r="F90" t="inlineStr">
        <is>
          <t>E</t>
        </is>
      </c>
    </row>
    <row r="91">
      <c r="A91" s="7" t="inlineStr">
        <is>
          <t>E6</t>
        </is>
      </c>
      <c r="B91" s="7" t="inlineStr">
        <is>
          <t>Saliran bersih dan berfungsi, tanpa air bertakung di dok, kawasan basuhan kenderaan dan bilik sejuk.</t>
        </is>
      </c>
      <c r="C91" s="7" t="inlineStr">
        <is>
          <t>MPPHM 17(8)(l)</t>
        </is>
      </c>
      <c r="D91" s="7" t="inlineStr"/>
      <c r="E91" s="7" t="inlineStr"/>
      <c r="F91" t="inlineStr">
        <is>
          <t>E</t>
        </is>
      </c>
    </row>
    <row r="92">
      <c r="A92" s="7" t="inlineStr">
        <is>
          <t>E7</t>
        </is>
      </c>
      <c r="B92" s="7" t="inlineStr">
        <is>
          <t>Kemudahan basuhan kenderaan, kontena dan peralatan disediakan di premis atau diperoleh daripada penyedia yang diluluskan, dengan bekalan air dan bahan sertu (cth. tanah atau sabun tanah liat) yang mencukupi.</t>
        </is>
      </c>
      <c r="C92" s="7" t="inlineStr">
        <is>
          <t>MS 2400-1/-2/-3 kl. 7*; MHMS 5(12)</t>
        </is>
      </c>
      <c r="D92" s="7" t="inlineStr"/>
      <c r="E92" s="7" t="inlineStr"/>
      <c r="F92" t="inlineStr">
        <is>
          <t>E</t>
        </is>
      </c>
    </row>
    <row r="93">
      <c r="A93" s="7" t="inlineStr">
        <is>
          <t>E8</t>
        </is>
      </c>
      <c r="B93" s="7" t="inlineStr">
        <is>
          <t>Kawasan kuarantin bagi produk tidak akur, rosak, dipulangkan atau diragui ditetapkan, ditanda dengan jelas dan aksesnya dikawal.</t>
        </is>
      </c>
      <c r="C93" s="7" t="inlineStr">
        <is>
          <t>MS 2400-1/-2/-3 kl. 7*</t>
        </is>
      </c>
      <c r="D93" s="7" t="inlineStr"/>
      <c r="E93" s="7" t="inlineStr"/>
      <c r="F93" t="inlineStr">
        <is>
          <t>E</t>
        </is>
      </c>
    </row>
    <row r="94">
      <c r="A94" s="7" t="inlineStr">
        <is>
          <t>E9</t>
        </is>
      </c>
      <c r="B94" s="7" t="inlineStr">
        <is>
          <t>Bahan kimia toksik, bahan pencuci, racun perosak dan peralatan yang tidak berkaitan disimpan di stor berasingan yang berlabel dan terkawal, jauh daripada lot halal.</t>
        </is>
      </c>
      <c r="C94" s="7" t="inlineStr">
        <is>
          <t>MPPHM 17(3)(g), 17(4)(b)</t>
        </is>
      </c>
      <c r="D94" s="7" t="inlineStr"/>
      <c r="E94" s="7" t="inlineStr"/>
      <c r="F94" t="inlineStr">
        <is>
          <t>E</t>
        </is>
      </c>
    </row>
    <row r="95">
      <c r="A95" s="7" t="inlineStr">
        <is>
          <t>E10</t>
        </is>
      </c>
      <c r="B95" s="7" t="inlineStr">
        <is>
          <t>Pejabat, pantri, kantin, surau dan tempat tinggal pekerja di dalam premis bebas daripada bahan dan produk tidak halal (cth. makanan berasaskan babi, minuman beralkohol).</t>
        </is>
      </c>
      <c r="C95" s="7" t="inlineStr">
        <is>
          <t>MPPHM 17(8)(a)</t>
        </is>
      </c>
      <c r="D95" s="7" t="inlineStr"/>
      <c r="E95" s="7" t="inlineStr"/>
      <c r="F95" t="inlineStr">
        <is>
          <t>E</t>
        </is>
      </c>
    </row>
    <row r="96">
      <c r="A96" s="7" t="inlineStr">
        <is>
          <t>E11</t>
        </is>
      </c>
      <c r="B96" s="7" t="inlineStr">
        <is>
          <t>Tempat tinggal pekerja (jika di bangunan yang sama) mempunyai pintu masuk berasingan, tiada laluan terus ke kawasan operasi, dan aksesnya dikawal.</t>
        </is>
      </c>
      <c r="C96" s="7" t="inlineStr">
        <is>
          <t>MPPHM 17(8)(k)</t>
        </is>
      </c>
      <c r="D96" s="7" t="inlineStr"/>
      <c r="E96" s="7" t="inlineStr"/>
      <c r="F96" t="inlineStr">
        <is>
          <t>E</t>
        </is>
      </c>
    </row>
    <row r="97">
      <c r="A97" s="7" t="inlineStr">
        <is>
          <t>E12</t>
        </is>
      </c>
      <c r="B97" s="7" t="inlineStr">
        <is>
          <t>Tiada alat atau unsur penyembahan di kawasan pengendalian produk halal (lot halal, dok, ruang muatan kenderaan, seksyen halal).</t>
        </is>
      </c>
      <c r="C97" s="7" t="inlineStr">
        <is>
          <t>MPPHM 17(15)</t>
        </is>
      </c>
      <c r="D97" s="7" t="inlineStr"/>
      <c r="E97" s="7" t="inlineStr"/>
      <c r="F97" t="inlineStr">
        <is>
          <t>E</t>
        </is>
      </c>
    </row>
    <row r="98">
      <c r="A98" s="7" t="inlineStr">
        <is>
          <t>E13</t>
        </is>
      </c>
      <c r="B98" s="7" t="inlineStr">
        <is>
          <t>Premis atau bahagian premis yang pernah menyimpan atau mengendalikan najis mughallazah (cth. gudang yang diambil alih, atau lot yang pernah disewa pihak lain) telah disertu, dengan rekod, sebelum digunakan.</t>
        </is>
      </c>
      <c r="C98" s="7" t="inlineStr">
        <is>
          <t>MPPHM 17(8)(n); MHMS 5(12); MS 2400-2 Lampiran D*; MS 2400-3 Lampiran E*</t>
        </is>
      </c>
      <c r="D98" s="7" t="inlineStr"/>
      <c r="E98" s="7" t="inlineStr"/>
      <c r="F98" t="inlineStr">
        <is>
          <t>E</t>
        </is>
      </c>
    </row>
    <row r="99">
      <c r="A99" s="4" t="inlineStr">
        <is>
          <t>Bahagian F: Pengangkutan: Kenderaan, Kontena &amp; Penghantaran (MS 2400-1)</t>
        </is>
      </c>
      <c r="B99" s="5" t="n"/>
      <c r="C99" s="5" t="n"/>
      <c r="D99" s="5" t="n"/>
      <c r="E99" s="6" t="n"/>
    </row>
    <row r="100" ht="26" customHeight="1">
      <c r="A100" s="2" t="inlineStr">
        <is>
          <t>Semak rekod muatan, kemudian periksa kawasan penyediaan dan penghantaran, dok muat, kenderaan dan kontena yang dipersijilkan di depoh, serta rekod perjalanan, pembersihan dan suhu.</t>
        </is>
      </c>
    </row>
    <row r="101">
      <c r="A101" s="7" t="inlineStr">
        <is>
          <t>F1</t>
        </is>
      </c>
      <c r="B101" s="7" t="inlineStr">
        <is>
          <t>Keseluruhan rangkaian pengangkutan (termasuk kenderaan yang tidak dipersijilkan dan subkontraktor) tidak mengangkut atau mengendalikan bahan atau produk najis mughallazah (cth. daging atau produk babi, kulit atau bulu babi, anjing atau babi hidup), dan kenderaan yang membawa makanan tidak digunakan untuk makanan asal babi. Manifes dan rekod muatan menyokong perkara ini.</t>
        </is>
      </c>
      <c r="C101" s="7" t="inlineStr">
        <is>
          <t>MPPHM 18(6)(j)(i); PKM per. 56(3); MS 2400-1 kl. 4.1*</t>
        </is>
      </c>
      <c r="D101" s="7" t="inlineStr"/>
      <c r="E101" s="7" t="inlineStr"/>
      <c r="F101" t="inlineStr">
        <is>
          <t>F</t>
        </is>
      </c>
    </row>
    <row r="102">
      <c r="A102" s="7" t="inlineStr">
        <is>
          <t>F2</t>
        </is>
      </c>
      <c r="B102" s="7" t="inlineStr">
        <is>
          <t>Kenderaan dan kontena yang dipersijilkan mengangkut dan mengendalikan produk halal sahaja, tanpa muatan bercampur dengan produk tidak halal, termasuk dalam konsolidasi muatan (LCL/LTL) dan muatan balik.</t>
        </is>
      </c>
      <c r="C102" s="7" t="inlineStr">
        <is>
          <t>MPPHM 18(6)(j)(ii), 17(7)(a); MS 2400-1 kl. 4.1*</t>
        </is>
      </c>
      <c r="D102" s="7" t="inlineStr"/>
      <c r="E102" s="7" t="inlineStr"/>
      <c r="F102" t="inlineStr">
        <is>
          <t>F</t>
        </is>
      </c>
    </row>
    <row r="103">
      <c r="A103" s="7" t="inlineStr">
        <is>
          <t>F3</t>
        </is>
      </c>
      <c r="B103" s="7" t="inlineStr">
        <is>
          <t>Perkhidmatan penghantaran makanan: keseluruhan rangkaian pengangkutan (kenderaan, penghantar, beg atau kotak penghantaran dan hab) dipersijilkan halal, dan syarikat tidak menghantar makanan tidak halal melalui mana-mana bahagian rangkaiannya.</t>
        </is>
      </c>
      <c r="C103" s="7" t="inlineStr">
        <is>
          <t>MPPHM 18(6)(j)(v), 6(2)</t>
        </is>
      </c>
      <c r="D103" s="7" t="inlineStr"/>
      <c r="E103" s="7" t="inlineStr"/>
      <c r="F103" t="inlineStr">
        <is>
          <t>F</t>
        </is>
      </c>
    </row>
    <row r="104">
      <c r="A104" s="7" t="inlineStr">
        <is>
          <t>F4</t>
        </is>
      </c>
      <c r="B104" s="7" t="inlineStr">
        <is>
          <t>Penyediaan dan penghantaran: produk halal disusun, dibalut dan dimuat secara berasingan daripada barang lain, dan susunan muatan mencegah pencemaran (cth. tumpahan dari atas).</t>
        </is>
      </c>
      <c r="C104" s="7" t="inlineStr">
        <is>
          <t>MS 2400-1 (klausa 'preparation and dispatch')*; MPPHM 17(7)(c)</t>
        </is>
      </c>
      <c r="D104" s="7" t="inlineStr"/>
      <c r="E104" s="7" t="inlineStr"/>
      <c r="F104" t="inlineStr">
        <is>
          <t>F</t>
        </is>
      </c>
    </row>
    <row r="105">
      <c r="A105" s="7" t="inlineStr">
        <is>
          <t>F5</t>
        </is>
      </c>
      <c r="B105" s="7" t="inlineStr">
        <is>
          <t>Sebelum memuat, kebersihan ruang muatan diperiksa menggunakan senarai semak (bebas sisa, bau dan kesan muatan terdahulu). Kenderaan yang tidak bersih ditolak atau dibersihkan semula, dan rekod pemeriksaan serta pembersihan disimpan.</t>
        </is>
      </c>
      <c r="C105" s="7" t="inlineStr">
        <is>
          <t>MPPHM 17(7)(c); MS 2400-1 kl. 6*</t>
        </is>
      </c>
      <c r="D105" s="7" t="inlineStr"/>
      <c r="E105" s="7" t="inlineStr"/>
      <c r="F105" t="inlineStr">
        <is>
          <t>F</t>
        </is>
      </c>
    </row>
    <row r="106">
      <c r="A106" s="7" t="inlineStr">
        <is>
          <t>F6</t>
        </is>
      </c>
      <c r="B106" s="7" t="inlineStr">
        <is>
          <t>Kenderaan atau kontena dimeterai selepas dimuat, nombor meterai dicatat dalam dokumen penghantaran, dan keutuhan meterai disemak semasa penerimaan. Meterai yang rosak dilaporkan, dan produk dinilai sebelum diterima.</t>
        </is>
      </c>
      <c r="C106" s="7" t="inlineStr">
        <is>
          <t>MS 2400-1 kl. 6*; MPPHM 17(7)(c)</t>
        </is>
      </c>
      <c r="D106" s="7" t="inlineStr"/>
      <c r="E106" s="7" t="inlineStr"/>
      <c r="F106" t="inlineStr">
        <is>
          <t>F</t>
        </is>
      </c>
    </row>
    <row r="107">
      <c r="A107" s="7" t="inlineStr">
        <is>
          <t>F7</t>
        </is>
      </c>
      <c r="B107" s="7" t="inlineStr">
        <is>
          <t>Dokumen pengangkutan (manifes, nota konsainan, pesanan penghantaran, bil muatan atau airway bill) menyatakan status halal kargo dan kenderaan yang digunakan.</t>
        </is>
      </c>
      <c r="C107" s="7" t="inlineStr">
        <is>
          <t>MS 2400-1 kl. 4.5*</t>
        </is>
      </c>
      <c r="D107" s="7" t="inlineStr"/>
      <c r="E107" s="7" t="inlineStr"/>
      <c r="F107" t="inlineStr">
        <is>
          <t>F</t>
        </is>
      </c>
    </row>
    <row r="108">
      <c r="A108" s="7" t="inlineStr">
        <is>
          <t>F8</t>
        </is>
      </c>
      <c r="B108" s="7" t="inlineStr">
        <is>
          <t>Setiap kenderaan dan kontena yang dipersijilkan dikenal pasti dan ditanda dengan jelas.</t>
        </is>
      </c>
      <c r="C108" s="7" t="inlineStr">
        <is>
          <t>MPPHM 18(6)(j)(iv)</t>
        </is>
      </c>
      <c r="D108" s="7" t="inlineStr"/>
      <c r="E108" s="7" t="inlineStr"/>
      <c r="F108" t="inlineStr">
        <is>
          <t>F</t>
        </is>
      </c>
    </row>
    <row r="109">
      <c r="A109" s="7" t="inlineStr">
        <is>
          <t>F9</t>
        </is>
      </c>
      <c r="B109" s="7" t="inlineStr">
        <is>
          <t>Kenderaan dan kontena sesuai dengan sifat produk (cth. tertutup, bertebat, berpenyejuk, tangki khusus), dalam keadaan baik, bersih dan terkawal.</t>
        </is>
      </c>
      <c r="C109" s="7" t="inlineStr">
        <is>
          <t>MPPHM 17(7)(b), 17(7)(c)</t>
        </is>
      </c>
      <c r="D109" s="7" t="inlineStr"/>
      <c r="E109" s="7" t="inlineStr"/>
      <c r="F109" t="inlineStr">
        <is>
          <t>F</t>
        </is>
      </c>
    </row>
    <row r="110">
      <c r="A110" s="7" t="inlineStr">
        <is>
          <t>F10</t>
        </is>
      </c>
      <c r="B110" s="7" t="inlineStr">
        <is>
          <t>Kenderaan yang membawa makanan bersih dan berfungsi dengan baik, dapat mengasingkan makanan daripada barang bukan makanan, tidak digunakan untuk membawa bahan berbahaya, dan dapat mengekalkan suhu yang diperlukan.</t>
        </is>
      </c>
      <c r="C110" s="7" t="inlineStr">
        <is>
          <t>PKM per. 56(1)</t>
        </is>
      </c>
      <c r="D110" s="7" t="inlineStr"/>
      <c r="E110" s="7" t="inlineStr"/>
      <c r="F110" t="inlineStr">
        <is>
          <t>F</t>
        </is>
      </c>
    </row>
    <row r="111">
      <c r="A111" s="7" t="inlineStr">
        <is>
          <t>F11</t>
        </is>
      </c>
      <c r="B111" s="7" t="inlineStr">
        <is>
          <t>Kenderaan yang membawa makanan dibersihkan atau dinyahkuman selepas membawa jenis makanan yang berbeza atau barang bukan makanan.</t>
        </is>
      </c>
      <c r="C111" s="7" t="inlineStr">
        <is>
          <t>PKM per. 56(2)</t>
        </is>
      </c>
      <c r="D111" s="7" t="inlineStr"/>
      <c r="E111" s="7" t="inlineStr"/>
      <c r="F111" t="inlineStr">
        <is>
          <t>F</t>
        </is>
      </c>
    </row>
    <row r="112">
      <c r="A112" s="7" t="inlineStr">
        <is>
          <t>F12</t>
        </is>
      </c>
      <c r="B112" s="7" t="inlineStr">
        <is>
          <t>Kenderaan pukal yang dipersijilkan (kontena pukal, tangki cecair pukal) serta hos, pam dan penyambungnya digunakan untuk produk halal sahaja, dan rekod pembersihan bagi setiap muatan disimpan.</t>
        </is>
      </c>
      <c r="C112" s="7" t="inlineStr">
        <is>
          <t>MPPHM 18(6)(j)(ii), 17(7)(c); MS 2400-1 kl. 6*</t>
        </is>
      </c>
      <c r="D112" s="7" t="inlineStr"/>
      <c r="E112" s="7" t="inlineStr"/>
      <c r="F112" t="inlineStr">
        <is>
          <t>F</t>
        </is>
      </c>
    </row>
    <row r="113">
      <c r="A113" s="7" t="inlineStr">
        <is>
          <t>F13</t>
        </is>
      </c>
      <c r="B113" s="7" t="inlineStr">
        <is>
          <t>Sejarah muatan terdahulu bagi kontena, treler, tangki atau ULD kargo udara yang disewa atau dikongsi disemak dan direkodkan sebelum digunakan.</t>
        </is>
      </c>
      <c r="C113" s="7" t="inlineStr">
        <is>
          <t>MPPHM 17(7)(c); MS 2400-1 kl. 4.1*</t>
        </is>
      </c>
      <c r="D113" s="7" t="inlineStr"/>
      <c r="E113" s="7" t="inlineStr"/>
      <c r="F113" t="inlineStr">
        <is>
          <t>F</t>
        </is>
      </c>
    </row>
    <row r="114">
      <c r="A114" s="7" t="inlineStr">
        <is>
          <t>F14</t>
        </is>
      </c>
      <c r="B114" s="7" t="inlineStr">
        <is>
          <t>Pekerja, termasuk pemandu dan kelindan, tidak membawa makanan dan/atau minuman, haiwan atau sebarang bahan tidak halal semasa bertugas (periksa kabin dan ruang muatan).</t>
        </is>
      </c>
      <c r="C114" s="7" t="inlineStr">
        <is>
          <t>MPPHM 18(6)(j)(vi)</t>
        </is>
      </c>
      <c r="D114" s="7" t="inlineStr"/>
      <c r="E114" s="7" t="inlineStr"/>
      <c r="F114" t="inlineStr">
        <is>
          <t>F</t>
        </is>
      </c>
    </row>
    <row r="115">
      <c r="A115" s="7" t="inlineStr">
        <is>
          <t>F15</t>
        </is>
      </c>
      <c r="B115" s="7" t="inlineStr">
        <is>
          <t>Makanan sejuk atau beku: kenderaan berpenyejuk mengekalkan suhu antara -1°C hingga 10°C bagi makanan sejuk dan -18°C bagi makanan beku, dan suhu dipantau (cth. rekod pencatat data).</t>
        </is>
      </c>
      <c r="C115" s="7" t="inlineStr">
        <is>
          <t>PKM per. 56(4)(a)</t>
        </is>
      </c>
      <c r="D115" s="7" t="inlineStr"/>
      <c r="E115" s="7" t="inlineStr"/>
      <c r="F115" t="inlineStr">
        <is>
          <t>F</t>
        </is>
      </c>
    </row>
    <row r="116">
      <c r="A116" s="7" t="inlineStr">
        <is>
          <t>F16</t>
        </is>
      </c>
      <c r="B116" s="7" t="inlineStr">
        <is>
          <t>Makanan sejuk atau beku: ruang simpanan berpenyejuk kenderaan dibina daripada bahan tidak telap air, dan dipasang peralatan penyejuk mekanikal yang diletakkan supaya semua bahagian peralatan mudah dicapai untuk dibersihkan.</t>
        </is>
      </c>
      <c r="C116" s="7" t="inlineStr">
        <is>
          <t>PKM per. 56(4)(b)</t>
        </is>
      </c>
      <c r="D116" s="7" t="inlineStr"/>
      <c r="E116" s="7" t="inlineStr"/>
      <c r="F116" t="inlineStr">
        <is>
          <t>F</t>
        </is>
      </c>
    </row>
    <row r="117">
      <c r="A117" s="7" t="inlineStr">
        <is>
          <t>F17</t>
        </is>
      </c>
      <c r="B117" s="7" t="inlineStr">
        <is>
          <t>Makanan sejuk atau beku: rantaian sejuk tidak terputus semasa pengangkutan. Hanya tempoh singkat di luar kawalan suhu yang tidak menjejaskan kesihatan dibenarkan (cth. semasa memuat dan memunggah).</t>
        </is>
      </c>
      <c r="C117" s="7" t="inlineStr">
        <is>
          <t>PKM per. 56(5)</t>
        </is>
      </c>
      <c r="D117" s="7" t="inlineStr"/>
      <c r="E117" s="7" t="inlineStr"/>
      <c r="F117" t="inlineStr">
        <is>
          <t>F</t>
        </is>
      </c>
    </row>
    <row r="118">
      <c r="A118" s="7" t="inlineStr">
        <is>
          <t>F18</t>
        </is>
      </c>
      <c r="B118" s="7" t="inlineStr">
        <is>
          <t>Ikan (jika diangkut): ikan segar, ikan tidak diproses yang telah dinyahbeku serta krustasia atau moluska yang diproses dikekalkan pada suhu menghampiri suhu ais cair; ikan beku di bawah -18°C pada semua bahagian produk; dan ikan beku dalam air garam untuk pengetinan di bawah -9°C.</t>
        </is>
      </c>
      <c r="C118" s="7" t="inlineStr">
        <is>
          <t>PKM per. 46</t>
        </is>
      </c>
      <c r="D118" s="7" t="inlineStr"/>
      <c r="E118" s="7" t="inlineStr"/>
      <c r="F118" t="inlineStr">
        <is>
          <t>F</t>
        </is>
      </c>
    </row>
    <row r="119">
      <c r="A119" s="7" t="inlineStr">
        <is>
          <t>F19</t>
        </is>
      </c>
      <c r="B119" s="7" t="inlineStr">
        <is>
          <t>Sistem pengesanan kenderaan (cth. GPS atau telematik) dibangun dan dilaksana secara berkesan bagi kenderaan yang dipersijilkan, dan rekod perjalanan disemak untuk mengesan hentian, pemindahan atau pengambilan muatan yang tidak dibenarkan.</t>
        </is>
      </c>
      <c r="C119" s="7" t="inlineStr">
        <is>
          <t>MPPHM 18(6)(j)(iii); MS 2400-1 kl. 4.5*</t>
        </is>
      </c>
      <c r="D119" s="7" t="inlineStr"/>
      <c r="E119" s="7" t="inlineStr"/>
      <c r="F119" t="inlineStr">
        <is>
          <t>F</t>
        </is>
      </c>
    </row>
    <row r="120">
      <c r="A120" s="7" t="inlineStr">
        <is>
          <t>F20</t>
        </is>
      </c>
      <c r="B120" s="7" t="inlineStr">
        <is>
          <t>Pemindahan muatan antara kenderaan (transhipment), termasuk semasa kerosakan atau kemalangan, hanya dibuat ke kenderaan yang dipersijilkan atau diluluskan, dan direkodkan.</t>
        </is>
      </c>
      <c r="C120" s="7" t="inlineStr">
        <is>
          <t>MS 2400-1 kl. 6*; MPPHM 17(7)(d)</t>
        </is>
      </c>
      <c r="D120" s="7" t="inlineStr"/>
      <c r="E120" s="7" t="inlineStr"/>
      <c r="F120" t="inlineStr">
        <is>
          <t>F</t>
        </is>
      </c>
    </row>
    <row r="121">
      <c r="A121" s="7" t="inlineStr">
        <is>
          <t>F21</t>
        </is>
      </c>
      <c r="B121" s="7" t="inlineStr">
        <is>
          <t>Produk yang rosak, tumpah atau hilang semasa pengangkutan dikendalikan mengikut prosedur: produk halal yang tercemar diasingkan sebagai tidak akur, dan ruang muatan dibersihkan.</t>
        </is>
      </c>
      <c r="C121" s="7" t="inlineStr">
        <is>
          <t>MS 2400-1 kl. 6*</t>
        </is>
      </c>
      <c r="D121" s="7" t="inlineStr"/>
      <c r="E121" s="7" t="inlineStr"/>
      <c r="F121" t="inlineStr">
        <is>
          <t>F</t>
        </is>
      </c>
    </row>
    <row r="122">
      <c r="A122" s="7" t="inlineStr">
        <is>
          <t>F22</t>
        </is>
      </c>
      <c r="B122" s="7" t="inlineStr">
        <is>
          <t>Lokasi pengangkutan (terminal, pelabuhan, lapangan terbang, depoh kontena, hab transit): kargo halal tidak diletakkan bersama kargo tidak halal semasa menunggu atau transit, dan risiko pencemaran di lokasi itu dikawal.</t>
        </is>
      </c>
      <c r="C122" s="7" t="inlineStr">
        <is>
          <t>MS 2400-1 (klausa 'transport location')*</t>
        </is>
      </c>
      <c r="D122" s="7" t="inlineStr"/>
      <c r="E122" s="7" t="inlineStr"/>
      <c r="F122" t="inlineStr">
        <is>
          <t>F</t>
        </is>
      </c>
    </row>
    <row r="123">
      <c r="A123" s="7" t="inlineStr">
        <is>
          <t>F23</t>
        </is>
      </c>
      <c r="B123" s="7" t="inlineStr">
        <is>
          <t>Kenderaan, kontena, treler, tangki atau ULD (termasuk unit yang disewa atau dikongsi) yang tercemar atau pernah membawa najis mughallazah disertu, disahkan dan direkodkan sebelum digunakan.</t>
        </is>
      </c>
      <c r="C123" s="7" t="inlineStr">
        <is>
          <t>MPPHM 17(7)(f); MHMS 5(12); MS 2400-1 Lampiran D*</t>
        </is>
      </c>
      <c r="D123" s="7" t="inlineStr"/>
      <c r="E123" s="7" t="inlineStr"/>
      <c r="F123" t="inlineStr">
        <is>
          <t>F</t>
        </is>
      </c>
    </row>
    <row r="124">
      <c r="A124" s="4" t="inlineStr">
        <is>
          <t>Bahagian G: Pergudangan: Lot Halal, Penyimpanan &amp; Rantaian Sejuk (MS 2400-2)</t>
        </is>
      </c>
      <c r="B124" s="5" t="n"/>
      <c r="C124" s="5" t="n"/>
      <c r="D124" s="5" t="n"/>
      <c r="E124" s="6" t="n"/>
    </row>
    <row r="125" ht="26" customHeight="1">
      <c r="A125" s="2" t="inlineStr">
        <is>
          <t>Ikut aliran barang di gudang, iaitu dok penerimaan, lot yang dipersijilkan, bilik sejuk atau beku, kawasan aktiviti nilai tambah dan dok penghantaran, sambil menyemak rekod WMS.</t>
        </is>
      </c>
    </row>
    <row r="126">
      <c r="A126" s="7" t="inlineStr">
        <is>
          <t>G1</t>
        </is>
      </c>
      <c r="B126" s="7" t="inlineStr">
        <is>
          <t>Keseluruhan kawasan premis gudang (termasuk lot yang tidak dipersijilkan, ruang pelanggan lain dan bilik sejuk) tidak menyimpan bahan atau produk najis mughallazah.</t>
        </is>
      </c>
      <c r="C126" s="7" t="inlineStr">
        <is>
          <t>MPPHM 18(6)(k)(i); MS 2400-2 kl. 4.1*</t>
        </is>
      </c>
      <c r="D126" s="7" t="inlineStr"/>
      <c r="E126" s="7" t="inlineStr"/>
      <c r="F126" t="inlineStr">
        <is>
          <t>G</t>
        </is>
      </c>
    </row>
    <row r="127">
      <c r="A127" s="7" t="inlineStr">
        <is>
          <t>G2</t>
        </is>
      </c>
      <c r="B127" s="7" t="inlineStr">
        <is>
          <t>Di dok penerimaan, kenderaan yang masuk diperiksa (kebersihan, meterai, suhu dan keadaan bungkusan) sebelum dipunggah.</t>
        </is>
      </c>
      <c r="C127" s="7" t="inlineStr">
        <is>
          <t>MS 2400-2 kl. 6*</t>
        </is>
      </c>
      <c r="D127" s="7" t="inlineStr"/>
      <c r="E127" s="7" t="inlineStr"/>
      <c r="F127" t="inlineStr">
        <is>
          <t>G</t>
        </is>
      </c>
    </row>
    <row r="128">
      <c r="A128" s="7" t="inlineStr">
        <is>
          <t>G3</t>
        </is>
      </c>
      <c r="B128" s="7" t="inlineStr">
        <is>
          <t>Lot yang dipersijilkan menyimpan dan mengendalikan produk halal sahaja, termasuk produk dagangan.</t>
        </is>
      </c>
      <c r="C128" s="7" t="inlineStr">
        <is>
          <t>MPPHM 18(6)(k)(ii), 17(4)(a), 5(9)</t>
        </is>
      </c>
      <c r="D128" s="7" t="inlineStr"/>
      <c r="E128" s="7" t="inlineStr"/>
      <c r="F128" t="inlineStr">
        <is>
          <t>G</t>
        </is>
      </c>
    </row>
    <row r="129">
      <c r="A129" s="7" t="inlineStr">
        <is>
          <t>G4</t>
        </is>
      </c>
      <c r="B129" s="7" t="inlineStr">
        <is>
          <t>Lot yang dipersijilkan dikenal pasti (papan tanda, penanda lot, label rak), diasingkan secara fizikal (dinding, pagar, sekatan atau bilik berasingan) daripada lot yang tidak dipersijilkan, dan aksesnya dikawal. Sempadan lot sepadan dengan pelan lantai.</t>
        </is>
      </c>
      <c r="C129" s="7" t="inlineStr">
        <is>
          <t>MPPHM 18(6)(k)(iv); Perintah Takrif Halal 2011 perenggan 3(1)(g)</t>
        </is>
      </c>
      <c r="D129" s="7" t="inlineStr"/>
      <c r="E129" s="7" t="inlineStr"/>
      <c r="F129" t="inlineStr">
        <is>
          <t>G</t>
        </is>
      </c>
    </row>
    <row r="130">
      <c r="A130" s="7" t="inlineStr">
        <is>
          <t>G5</t>
        </is>
      </c>
      <c r="B130" s="7" t="inlineStr">
        <is>
          <t>Di dalam lot halal, produk yang dipersijilkan halal dan produk halal yang tidak dipersijilkan disimpan secara berasingan dan dilabel dengan jelas.</t>
        </is>
      </c>
      <c r="C130" s="7" t="inlineStr">
        <is>
          <t>MPPHM 18(6)(k)(v)</t>
        </is>
      </c>
      <c r="D130" s="7" t="inlineStr"/>
      <c r="E130" s="7" t="inlineStr"/>
      <c r="F130" t="inlineStr">
        <is>
          <t>G</t>
        </is>
      </c>
    </row>
    <row r="131">
      <c r="A131" s="7" t="inlineStr">
        <is>
          <t>G6</t>
        </is>
      </c>
      <c r="B131" s="7" t="inlineStr">
        <is>
          <t>Produk disimpan mengikut sifatnya (kering, sejuk, beku, bahan berbahaya), di atas palet atau rak, dan disusun supaya mudah dibersihkan. Kawasan simpanan bersih dan teratur.</t>
        </is>
      </c>
      <c r="C131" s="7" t="inlineStr">
        <is>
          <t>MPPHM 17(4)(d), 17(4)(e), 17(4)(g), 17(8)(f)</t>
        </is>
      </c>
      <c r="D131" s="7" t="inlineStr"/>
      <c r="E131" s="7" t="inlineStr"/>
      <c r="F131" t="inlineStr">
        <is>
          <t>G</t>
        </is>
      </c>
    </row>
    <row r="132">
      <c r="A132" s="7" t="inlineStr">
        <is>
          <t>G7</t>
        </is>
      </c>
      <c r="B132" s="7" t="inlineStr">
        <is>
          <t>Produk rosak, ditolak, dipulangkan atau tamat tempoh serta peralatan diasingkan dan dilabel, dan barang yang tidak berkaitan tidak disimpan bersama produk.</t>
        </is>
      </c>
      <c r="C132" s="7" t="inlineStr">
        <is>
          <t>MPPHM 17(4)(b), 17(4)(c)</t>
        </is>
      </c>
      <c r="D132" s="7" t="inlineStr"/>
      <c r="E132" s="7" t="inlineStr"/>
      <c r="F132" t="inlineStr">
        <is>
          <t>G</t>
        </is>
      </c>
    </row>
    <row r="133">
      <c r="A133" s="7" t="inlineStr">
        <is>
          <t>G8</t>
        </is>
      </c>
      <c r="B133" s="7" t="inlineStr">
        <is>
          <t>Bilik sejuk atau beku yang dikongsi dengan produk lain: lot halal diasingkan secara fizikal dan dilindungi daripada titisan, tumpahan dan sentuhan dengan produk lain.</t>
        </is>
      </c>
      <c r="C133" s="7" t="inlineStr">
        <is>
          <t>MPPHM 18(6)(k)(iv); Perintah Takrif Halal 2011 perenggan 3(1)(g)</t>
        </is>
      </c>
      <c r="D133" s="7" t="inlineStr"/>
      <c r="E133" s="7" t="inlineStr"/>
      <c r="F133" t="inlineStr">
        <is>
          <t>G</t>
        </is>
      </c>
    </row>
    <row r="134">
      <c r="A134" s="7" t="inlineStr">
        <is>
          <t>G9</t>
        </is>
      </c>
      <c r="B134" s="7" t="inlineStr">
        <is>
          <t>Makanan sejuk atau beku yang akan dijual secara runcit disimpan pada -1°C hingga 10°C (sejuk) atau -18°C (beku), dan suhu bilik sejuk serta bilik beku direkodkan.</t>
        </is>
      </c>
      <c r="C134" s="7" t="inlineStr">
        <is>
          <t>PKM per. 38(3)</t>
        </is>
      </c>
      <c r="D134" s="7" t="inlineStr"/>
      <c r="E134" s="7" t="inlineStr"/>
      <c r="F134" t="inlineStr">
        <is>
          <t>G</t>
        </is>
      </c>
    </row>
    <row r="135">
      <c r="A135" s="7" t="inlineStr">
        <is>
          <t>G10</t>
        </is>
      </c>
      <c r="B135" s="7" t="inlineStr">
        <is>
          <t>Makanan sejuk atau beku: rantaian sejuk tidak terputus semasa penyimpanan. Hanya tempoh singkat di luar kawalan suhu yang tidak menjejaskan kesihatan dibenarkan (cth. semasa memuat, memunggah atau nyahfros).</t>
        </is>
      </c>
      <c r="C135" s="7" t="inlineStr">
        <is>
          <t>PKM per. 38(4)</t>
        </is>
      </c>
      <c r="D135" s="7" t="inlineStr"/>
      <c r="E135" s="7" t="inlineStr"/>
      <c r="F135" t="inlineStr">
        <is>
          <t>G</t>
        </is>
      </c>
    </row>
    <row r="136">
      <c r="A136" s="7" t="inlineStr">
        <is>
          <t>G11</t>
        </is>
      </c>
      <c r="B136" s="7" t="inlineStr">
        <is>
          <t>Kawasan aktiviti nilai tambah (pembungkusan semula, pelabelan, kitting) bebas daripada produk tidak halal, tidak digunakan untuk tujuan lain tanpa kawalan halal, serta bersih dan teratur. Aktiviti di situ dibuat mengikut Hukum Syarak dan amalan kebersihan yang baik (GHP).</t>
        </is>
      </c>
      <c r="C136" s="7" t="inlineStr">
        <is>
          <t>MPPHM 17(3)(a), 17(3)(b), 17(3)(c), 17(3)(e), 17(3)(f); MHMS 7(4)(a)(i)</t>
        </is>
      </c>
      <c r="D136" s="7" t="inlineStr"/>
      <c r="E136" s="7" t="inlineStr"/>
      <c r="F136" t="inlineStr">
        <is>
          <t>G</t>
        </is>
      </c>
    </row>
    <row r="137">
      <c r="A137" s="7" t="inlineStr">
        <is>
          <t>G12</t>
        </is>
      </c>
      <c r="B137" s="7" t="inlineStr">
        <is>
          <t>Kawasan aktiviti nilai tambah tidak digunakan untuk menghasilkan, memasang atau membungkus produk bagi tujuan keagamaan yang memberi implikasi negatif.</t>
        </is>
      </c>
      <c r="C137" s="7" t="inlineStr">
        <is>
          <t>MPPHM 17(3)(d)</t>
        </is>
      </c>
      <c r="D137" s="7" t="inlineStr"/>
      <c r="E137" s="7" t="inlineStr"/>
      <c r="F137" t="inlineStr">
        <is>
          <t>G</t>
        </is>
      </c>
    </row>
    <row r="138">
      <c r="A138" s="7" t="inlineStr">
        <is>
          <t>G13</t>
        </is>
      </c>
      <c r="B138" s="7" t="inlineStr">
        <is>
          <t>Cross-docking, pecah pukal dan konsolidasi dibuat di kawasan yang ditetapkan mengikut prosedur kawalan risiko halal, dan produk halal tidak disatukan dengan produk tidak halal dalam palet, karton atau kontena yang sama.</t>
        </is>
      </c>
      <c r="C138" s="7" t="inlineStr">
        <is>
          <t>MHMS 7(4)(a)(i); MS 2400-2 kl. 6*</t>
        </is>
      </c>
      <c r="D138" s="7" t="inlineStr"/>
      <c r="E138" s="7" t="inlineStr"/>
      <c r="F138" t="inlineStr">
        <is>
          <t>G</t>
        </is>
      </c>
    </row>
    <row r="139">
      <c r="A139" s="7" t="inlineStr">
        <is>
          <t>G14</t>
        </is>
      </c>
      <c r="B139" s="7" t="inlineStr">
        <is>
          <t>Pengambilan dan penyediaan pesanan (picking, packing, staging): produk halal diambil dari lot halal, diletakkan di kawasan menunggu muat yang ditetapkan, dan dimuat hanya ke kenderaan yang dipersijilkan atau diluluskan.</t>
        </is>
      </c>
      <c r="C139" s="7" t="inlineStr">
        <is>
          <t>MS 2400-2 kl. 6*; MPPHM 17(7)(a)</t>
        </is>
      </c>
      <c r="D139" s="7" t="inlineStr"/>
      <c r="E139" s="7" t="inlineStr"/>
      <c r="F139" t="inlineStr">
        <is>
          <t>G</t>
        </is>
      </c>
    </row>
    <row r="140">
      <c r="A140" s="7" t="inlineStr">
        <is>
          <t>G15</t>
        </is>
      </c>
      <c r="B140" s="7" t="inlineStr">
        <is>
          <t>Tumpahan atau kerosakan produk di gudang dibersihkan segera mengikut prosedur. Produk halal yang terkena tumpahan produk lain diasingkan sebagai tidak akur dan dinilai.</t>
        </is>
      </c>
      <c r="C140" s="7" t="inlineStr">
        <is>
          <t>MS 2400-2 kl. 6*</t>
        </is>
      </c>
      <c r="D140" s="7" t="inlineStr"/>
      <c r="E140" s="7" t="inlineStr"/>
      <c r="F140" t="inlineStr">
        <is>
          <t>G</t>
        </is>
      </c>
    </row>
    <row r="141">
      <c r="A141" s="7" t="inlineStr">
        <is>
          <t>G16</t>
        </is>
      </c>
      <c r="B141" s="7" t="inlineStr">
        <is>
          <t>Sistem pengurusan gudang (WMS) dibangun dan dilaksana secara berkesan: status halal dan lokasi lot setiap produk direkodkan, dan sistem atau prosedur menghalang produk tidak halal atau yang belum disahkan daripada ditempatkan di lokasi lot halal.</t>
        </is>
      </c>
      <c r="C141" s="7" t="inlineStr">
        <is>
          <t>MPPHM 18(6)(k)(iii); MS 2400-2 kl. 4.5*</t>
        </is>
      </c>
      <c r="D141" s="7" t="inlineStr"/>
      <c r="E141" s="7" t="inlineStr"/>
      <c r="F141" t="inlineStr">
        <is>
          <t>G</t>
        </is>
      </c>
    </row>
    <row r="142">
      <c r="A142" s="7" t="inlineStr">
        <is>
          <t>G17</t>
        </is>
      </c>
      <c r="B142" s="7" t="inlineStr">
        <is>
          <t>Semakan rawak: stok fizikal di lot halal sepadan dengan rekod WMS (produk, lokasi, kuantiti dan status halal).</t>
        </is>
      </c>
      <c r="C142" s="7" t="inlineStr">
        <is>
          <t>MPPHM 18(6)(k)(iii), 17(4)(f)</t>
        </is>
      </c>
      <c r="D142" s="7" t="inlineStr"/>
      <c r="E142" s="7" t="inlineStr"/>
      <c r="F142" t="inlineStr">
        <is>
          <t>G</t>
        </is>
      </c>
    </row>
    <row r="143">
      <c r="A143" s="7" t="inlineStr">
        <is>
          <t>G18</t>
        </is>
      </c>
      <c r="B143" s="7" t="inlineStr">
        <is>
          <t>Prosedur penyimpanan bertulis (penerimaan, penempatan lot, pergerakan dan pengeluaran stok) tersedia dan dipatuhi.</t>
        </is>
      </c>
      <c r="C143" s="7" t="inlineStr">
        <is>
          <t>MPPHM 17(4)(f); MS 2400-2 kl. 6*</t>
        </is>
      </c>
      <c r="D143" s="7" t="inlineStr"/>
      <c r="E143" s="7" t="inlineStr"/>
      <c r="F143" t="inlineStr">
        <is>
          <t>G</t>
        </is>
      </c>
    </row>
    <row r="144">
      <c r="A144" s="7" t="inlineStr">
        <is>
          <t>G19</t>
        </is>
      </c>
      <c r="B144" s="7" t="inlineStr">
        <is>
          <t>Lot atau stor yang tercemar najis mughallazah disertu, disahkan dan direkodkan sebelum digunakan semula.</t>
        </is>
      </c>
      <c r="C144" s="7" t="inlineStr">
        <is>
          <t>MPPHM 17(4)(j); MHMS 5(12); MS 2400-2 Lampiran D*</t>
        </is>
      </c>
      <c r="D144" s="7" t="inlineStr"/>
      <c r="E144" s="7" t="inlineStr"/>
      <c r="F144" t="inlineStr">
        <is>
          <t>G</t>
        </is>
      </c>
    </row>
    <row r="145">
      <c r="A145" s="4" t="inlineStr">
        <is>
          <t>Bahagian H: Peruncitan: Pengedar, Pedagang &amp; Peruncit Makanan (MS 2400-3)</t>
        </is>
      </c>
      <c r="B145" s="5" t="n"/>
      <c r="C145" s="5" t="n"/>
      <c r="D145" s="5" t="n"/>
      <c r="E145" s="6" t="n"/>
    </row>
    <row r="146" ht="26" customHeight="1">
      <c r="A146" s="2" t="inlineStr">
        <is>
          <t>Periksa stor belakang, lantai jualan, chiller, seksyen tidak halal (jika ada), troli dan bakul, kaunter bayaran, papan tanda, sistem pengurusan peruncitan serta penyediaan dan penghantaran barang runcit.</t>
        </is>
      </c>
    </row>
    <row r="147">
      <c r="A147" s="7" t="inlineStr">
        <is>
          <t>H1</t>
        </is>
      </c>
      <c r="B147" s="7" t="inlineStr">
        <is>
          <t>Keseluruhan premis (stor, rak, chiller, kaunter, gerai promosi atau sewaan, serta premis pengedar atau pedagang) tidak mengendali, mempamer atau menjual bahan atau produk najis mughallazah.</t>
        </is>
      </c>
      <c r="C147" s="7" t="inlineStr">
        <is>
          <t>MPPHM 18(6)(l)(i); MS 2400-3 kl. 4.1*</t>
        </is>
      </c>
      <c r="D147" s="7" t="inlineStr"/>
      <c r="E147" s="7" t="inlineStr"/>
      <c r="F147" t="inlineStr">
        <is>
          <t>H</t>
        </is>
      </c>
    </row>
    <row r="148">
      <c r="A148" s="7" t="inlineStr">
        <is>
          <t>H2</t>
        </is>
      </c>
      <c r="B148" s="7" t="inlineStr">
        <is>
          <t>Pengedar dan pedagang mengendali dan menjual bahan atau produk halal sahaja, dan syarikat tidak mengedarkan produk halal bersama produk tidak halal.</t>
        </is>
      </c>
      <c r="C148" s="7" t="inlineStr">
        <is>
          <t>MPPHM 18(6)(l)(ii), 6(2)</t>
        </is>
      </c>
      <c r="D148" s="7" t="inlineStr"/>
      <c r="E148" s="7" t="inlineStr"/>
      <c r="F148" t="inlineStr">
        <is>
          <t>H</t>
        </is>
      </c>
    </row>
    <row r="149">
      <c r="A149" s="7" t="inlineStr">
        <is>
          <t>H3</t>
        </is>
      </c>
      <c r="B149" s="7" t="inlineStr">
        <is>
          <t>Peruncit makanan: seksyen yang dipersijilkan halal hanya mengendali, mempamer dan menjual bahan atau produk halal.</t>
        </is>
      </c>
      <c r="C149" s="7" t="inlineStr">
        <is>
          <t>MPPHM 18(6)(l)(iii)</t>
        </is>
      </c>
      <c r="D149" s="7" t="inlineStr"/>
      <c r="E149" s="7" t="inlineStr"/>
      <c r="F149" t="inlineStr">
        <is>
          <t>H</t>
        </is>
      </c>
    </row>
    <row r="150">
      <c r="A150" s="7" t="inlineStr">
        <is>
          <t>H4</t>
        </is>
      </c>
      <c r="B150" s="7" t="inlineStr">
        <is>
          <t>Stor belakang bersih dan teratur, produk disimpan di atas palet atau rak, dan produk rosak, tamat tempoh atau dipulangkan diasingkan serta dilabel.</t>
        </is>
      </c>
      <c r="C150" s="7" t="inlineStr">
        <is>
          <t>MPPHM 17(4)(b), 17(4)(e), 17(4)(g); MS 2400-3 kl. 6*</t>
        </is>
      </c>
      <c r="D150" s="7" t="inlineStr"/>
      <c r="E150" s="7" t="inlineStr"/>
      <c r="F150" t="inlineStr">
        <is>
          <t>H</t>
        </is>
      </c>
    </row>
    <row r="151">
      <c r="A151" s="7" t="inlineStr">
        <is>
          <t>H5</t>
        </is>
      </c>
      <c r="B151" s="7" t="inlineStr">
        <is>
          <t>Produk di stor dan rak sepadan dengan senarai produk dagangan yang diluluskan melalui prosedur penerimaan atau pemilihan produk, tanpa produk yang tidak tersenarai.</t>
        </is>
      </c>
      <c r="C151" s="7" t="inlineStr">
        <is>
          <t>MHMS 7(4)(a)(iii); MS 2400-3 kl. 6*</t>
        </is>
      </c>
      <c r="D151" s="7" t="inlineStr"/>
      <c r="E151" s="7" t="inlineStr"/>
      <c r="F151" t="inlineStr">
        <is>
          <t>H</t>
        </is>
      </c>
    </row>
    <row r="152">
      <c r="A152" s="7" t="inlineStr">
        <is>
          <t>H6</t>
        </is>
      </c>
      <c r="B152" s="7" t="inlineStr">
        <is>
          <t>Susun atur barangan mengikut kategori yang ditetapkan (cth. bahan mentah basah, kering dan sebagainya).</t>
        </is>
      </c>
      <c r="C152" s="7" t="inlineStr">
        <is>
          <t>MPPHM 18(6)(l)(vi)</t>
        </is>
      </c>
      <c r="D152" s="7" t="inlineStr"/>
      <c r="E152" s="7" t="inlineStr"/>
      <c r="F152" t="inlineStr">
        <is>
          <t>H</t>
        </is>
      </c>
    </row>
    <row r="153">
      <c r="A153" s="7" t="inlineStr">
        <is>
          <t>H7</t>
        </is>
      </c>
      <c r="B153" s="7" t="inlineStr">
        <is>
          <t>Produk yang diragui status halalnya (cth. logo halal palsu atau tidak dikenali, tiada maklumat pengeluar, sijil tamat tempoh) ditarik dari rak dan dinilai mengikut prosedur sebelum dilepaskan semula untuk jualan, dan keputusan penilaian direkodkan.</t>
        </is>
      </c>
      <c r="C153" s="7" t="inlineStr">
        <is>
          <t>MS 2400-3 (klausa 'Evaluation for release of doubtful products and/or goods')*; MHMS 5(7)</t>
        </is>
      </c>
      <c r="D153" s="7" t="inlineStr"/>
      <c r="E153" s="7" t="inlineStr"/>
      <c r="F153" t="inlineStr">
        <is>
          <t>H</t>
        </is>
      </c>
    </row>
    <row r="154">
      <c r="A154" s="7" t="inlineStr">
        <is>
          <t>H8</t>
        </is>
      </c>
      <c r="B154" s="7" t="inlineStr">
        <is>
          <t>Papan tanda, label rak dan bahan promosi yang menyatakan 'halal' hanya digunakan bagi seksyen dan produk yang diperakui oleh pihak berkuasa berwibawa, dan tiada tanda halal buatan sendiri (cth. 'Ditanggung Halal').</t>
        </is>
      </c>
      <c r="C154" s="7" t="inlineStr">
        <is>
          <t>Perintah Perakuan &amp; Penandaan Halal 2011 perenggan 4(1), 4(2); APD 2011 s. 28, 29</t>
        </is>
      </c>
      <c r="D154" s="7" t="inlineStr"/>
      <c r="E154" s="7" t="inlineStr"/>
      <c r="F154" t="inlineStr">
        <is>
          <t>H</t>
        </is>
      </c>
    </row>
    <row r="155">
      <c r="A155" s="7" t="inlineStr">
        <is>
          <t>H9</t>
        </is>
      </c>
      <c r="B155" s="7" t="inlineStr">
        <is>
          <t>Daging (jika dijual): daging sejuk disimpan pada -1°C hingga 10°C, dan daging yang dipamerkan untuk jualan runcit disimpan dalam unit penyejuk atau kemudahan bertebat pada 10°C atau kurang.</t>
        </is>
      </c>
      <c r="C155" s="7" t="inlineStr">
        <is>
          <t>PKM per. 41(1)(a), 41(1)(b)</t>
        </is>
      </c>
      <c r="D155" s="7" t="inlineStr"/>
      <c r="E155" s="7" t="inlineStr"/>
      <c r="F155" t="inlineStr">
        <is>
          <t>H</t>
        </is>
      </c>
    </row>
    <row r="156">
      <c r="A156" s="7" t="inlineStr">
        <is>
          <t>H10</t>
        </is>
      </c>
      <c r="B156" s="7" t="inlineStr">
        <is>
          <t>Ikan (jika dijual): ikan sejuk disimpan atau dipamerkan pada -1°C hingga 10°C, dan ikan beku di bawah -18°C.</t>
        </is>
      </c>
      <c r="C156" s="7" t="inlineStr">
        <is>
          <t>PKM per. 47(1)(a), 47(1)(b)</t>
        </is>
      </c>
      <c r="D156" s="7" t="inlineStr"/>
      <c r="E156" s="7" t="inlineStr"/>
      <c r="F156" t="inlineStr">
        <is>
          <t>H</t>
        </is>
      </c>
    </row>
    <row r="157">
      <c r="A157" s="7" t="inlineStr">
        <is>
          <t>H11</t>
        </is>
      </c>
      <c r="B157" s="7" t="inlineStr">
        <is>
          <t>Makanan sejuk dan beku lain untuk jualan runcit disimpan pada -1°C hingga 10°C (sejuk) atau -18°C (beku), dan rantaian sejuk tidak terputus kecuali untuk tempoh singkat yang tidak menjejaskan kesihatan.</t>
        </is>
      </c>
      <c r="C157" s="7" t="inlineStr">
        <is>
          <t>PKM per. 38(3), 38(4)</t>
        </is>
      </c>
      <c r="D157" s="7" t="inlineStr"/>
      <c r="E157" s="7" t="inlineStr"/>
      <c r="F157" t="inlineStr">
        <is>
          <t>H</t>
        </is>
      </c>
    </row>
    <row r="158">
      <c r="A158" s="7" t="inlineStr">
        <is>
          <t>H12</t>
        </is>
      </c>
      <c r="B158" s="7" t="inlineStr">
        <is>
          <t>Seksyen tidak halal (jika ada; bukan najis mughallazah, cth. minuman beralkohol) ditempatkan di kawasan berasingan dan ditanda dengan jelas.</t>
        </is>
      </c>
      <c r="C158" s="7" t="inlineStr">
        <is>
          <t>MPPHM 18(6)(l)(iv)</t>
        </is>
      </c>
      <c r="D158" s="7" t="inlineStr"/>
      <c r="E158" s="7" t="inlineStr"/>
      <c r="F158" t="inlineStr">
        <is>
          <t>H</t>
        </is>
      </c>
    </row>
    <row r="159">
      <c r="A159" s="7" t="inlineStr">
        <is>
          <t>H13</t>
        </is>
      </c>
      <c r="B159" s="7" t="inlineStr">
        <is>
          <t>Seksyen tidak halal: penyimpanannya (stor dan chiller) berasingan dan ditanda dengan jelas.</t>
        </is>
      </c>
      <c r="C159" s="7" t="inlineStr">
        <is>
          <t>MPPHM 18(6)(l)(iv)</t>
        </is>
      </c>
      <c r="D159" s="7" t="inlineStr"/>
      <c r="E159" s="7" t="inlineStr"/>
      <c r="F159" t="inlineStr">
        <is>
          <t>H</t>
        </is>
      </c>
    </row>
    <row r="160">
      <c r="A160" s="7" t="inlineStr">
        <is>
          <t>H14</t>
        </is>
      </c>
      <c r="B160" s="7" t="inlineStr">
        <is>
          <t>Seksyen tidak halal: troli dan/atau bakul khusus disediakan dan hanya digunakan di seksyen tersebut.</t>
        </is>
      </c>
      <c r="C160" s="7" t="inlineStr">
        <is>
          <t>MPPHM 18(6)(l)(iv)</t>
        </is>
      </c>
      <c r="D160" s="7" t="inlineStr"/>
      <c r="E160" s="7" t="inlineStr"/>
      <c r="F160" t="inlineStr">
        <is>
          <t>H</t>
        </is>
      </c>
    </row>
    <row r="161">
      <c r="A161" s="7" t="inlineStr">
        <is>
          <t>H15</t>
        </is>
      </c>
      <c r="B161" s="7" t="inlineStr">
        <is>
          <t>Seksyen tidak halal: kaunter pembayaran khusus disediakan di seksyen tersebut, dan produk seksyen itu tidak dibayar di kaunter umum.</t>
        </is>
      </c>
      <c r="C161" s="7" t="inlineStr">
        <is>
          <t>MPPHM 18(6)(l)(iv)</t>
        </is>
      </c>
      <c r="D161" s="7" t="inlineStr"/>
      <c r="E161" s="7" t="inlineStr"/>
      <c r="F161" t="inlineStr">
        <is>
          <t>H</t>
        </is>
      </c>
    </row>
    <row r="162">
      <c r="A162" s="7" t="inlineStr">
        <is>
          <t>H16</t>
        </is>
      </c>
      <c r="B162" s="7" t="inlineStr">
        <is>
          <t>Seksyen tidak halal dikendalikan oleh orang bukan Islam sahaja (penyusun stok, jurujual dan juruwang), dan jadual tugas menunjukkan perkara ini.</t>
        </is>
      </c>
      <c r="C162" s="7" t="inlineStr">
        <is>
          <t>MPPHM 18(6)(l)(iv)</t>
        </is>
      </c>
      <c r="D162" s="7" t="inlineStr"/>
      <c r="E162" s="7" t="inlineStr"/>
      <c r="F162" t="inlineStr">
        <is>
          <t>H</t>
        </is>
      </c>
    </row>
    <row r="163">
      <c r="A163" s="7" t="inlineStr">
        <is>
          <t>H17</t>
        </is>
      </c>
      <c r="B163" s="7" t="inlineStr">
        <is>
          <t>Peralatan seksyen tidak halal (cth. troli stok, pallet jack, alat pembersihan) khusus untuk seksyen itu dan tidak digunakan di seksyen halal.</t>
        </is>
      </c>
      <c r="C163" s="7" t="inlineStr">
        <is>
          <t>MPPHM 17(5)(a), 18(6)(l)(iv)</t>
        </is>
      </c>
      <c r="D163" s="7" t="inlineStr"/>
      <c r="E163" s="7" t="inlineStr"/>
      <c r="F163" t="inlineStr">
        <is>
          <t>H</t>
        </is>
      </c>
    </row>
    <row r="164">
      <c r="A164" s="7" t="inlineStr">
        <is>
          <t>H18</t>
        </is>
      </c>
      <c r="B164" s="7" t="inlineStr">
        <is>
          <t>Sistem pengurusan peruncitan (cth. POS atau ERP) dibangun dan dilaksana secara berkesan: status halal dan seksyen setiap SKU direkodkan, dan produk seksyen tidak halal dapat dikenal pasti di kaunter.</t>
        </is>
      </c>
      <c r="C164" s="7" t="inlineStr">
        <is>
          <t>MPPHM 18(6)(l)(v); MS 2400-3 kl. 4.5*</t>
        </is>
      </c>
      <c r="D164" s="7" t="inlineStr"/>
      <c r="E164" s="7" t="inlineStr"/>
      <c r="F164" t="inlineStr">
        <is>
          <t>H</t>
        </is>
      </c>
    </row>
    <row r="165">
      <c r="A165" s="7" t="inlineStr">
        <is>
          <t>H19</t>
        </is>
      </c>
      <c r="B165" s="7" t="inlineStr">
        <is>
          <t>Saluran jualan dalam talian (jika ada) memaparkan status halal produk dengan betul dan tidak memperihalkan produk atau perkhidmatan yang tidak diperakui sebagai halal.</t>
        </is>
      </c>
      <c r="C165" s="7" t="inlineStr">
        <is>
          <t>Perintah Perakuan &amp; Penandaan Halal 2011 perenggan 4(1), 4(2); MPPHM 18(6)(l)(v)</t>
        </is>
      </c>
      <c r="D165" s="7" t="inlineStr"/>
      <c r="E165" s="7" t="inlineStr"/>
      <c r="F165" t="inlineStr">
        <is>
          <t>H</t>
        </is>
      </c>
    </row>
    <row r="166">
      <c r="A166" s="7" t="inlineStr">
        <is>
          <t>H20</t>
        </is>
      </c>
      <c r="B166" s="7" t="inlineStr">
        <is>
          <t>Penyediaan dan penghantaran barang runcit (cth. pemindahan stok dari pusat pengedaran ke outlet, pesanan dalam talian atau penghantaran ke rumah) mengekalkan pengasingan produk halal daripada produk seksyen tidak halal semasa pengambilan, pembungkusan, penyimpanan sementara dan pengangkutan.</t>
        </is>
      </c>
      <c r="C166" s="7" t="inlineStr">
        <is>
          <t>MS 2400-3 (klausa 'preparation and dispatch')*, (klausa 'transport location')*; MPPHM 18(6)(l)(iv)</t>
        </is>
      </c>
      <c r="D166" s="7" t="inlineStr"/>
      <c r="E166" s="7" t="inlineStr"/>
      <c r="F166" t="inlineStr">
        <is>
          <t>H</t>
        </is>
      </c>
    </row>
    <row r="167">
      <c r="A167" s="4" t="inlineStr">
        <is>
          <t>Bahagian I: Peralatan, Kebersihan, Kawalan Perosak &amp; Sertu</t>
        </is>
      </c>
      <c r="B167" s="5" t="n"/>
      <c r="C167" s="5" t="n"/>
      <c r="D167" s="5" t="n"/>
      <c r="E167" s="6" t="n"/>
    </row>
    <row r="168" ht="26" customHeight="1">
      <c r="A168" s="2" t="inlineStr">
        <is>
          <t>Periksa peralatan pengendalian, palet dan kontena, bahan pencuci, bekalan air, kemudahan sanitasi, rekod pembersihan dan kawalan perosak, serta pelaksanaan sertu.</t>
        </is>
      </c>
    </row>
    <row r="169">
      <c r="A169" s="7" t="inlineStr">
        <is>
          <t>I1</t>
        </is>
      </c>
      <c r="B169" s="7" t="inlineStr">
        <is>
          <t>Peralatan yang digunakan di lot, kenderaan atau seksyen yang dipersijilkan (cth. pallet jack, forklift, troli, tote, kontena boleh guna semula, peralatan pemunggahan pukal) digunakan untuk produk halal sahaja.</t>
        </is>
      </c>
      <c r="C169" s="7" t="inlineStr">
        <is>
          <t>MPPHM 17(5)(a); MS 2400-1/-2/-3 kl. 7*</t>
        </is>
      </c>
      <c r="D169" s="7" t="inlineStr"/>
      <c r="E169" s="7" t="inlineStr"/>
      <c r="F169" t="inlineStr">
        <is>
          <t>I</t>
        </is>
      </c>
    </row>
    <row r="170">
      <c r="A170" s="7" t="inlineStr">
        <is>
          <t>I2</t>
        </is>
      </c>
      <c r="B170" s="7" t="inlineStr">
        <is>
          <t>Palet, rak dan kontena dalam keadaan baik, bersih dan bebas najis. Palet atau kontena yang pernah digunakan untuk produk najis mughallazah tidak digunakan di lot atau kenderaan yang dipersijilkan kecuali selepas disertu.</t>
        </is>
      </c>
      <c r="C170" s="7" t="inlineStr">
        <is>
          <t>MPPHM 17(5)(d), 17(5)(h)</t>
        </is>
      </c>
      <c r="D170" s="7" t="inlineStr"/>
      <c r="E170" s="7" t="inlineStr"/>
      <c r="F170" t="inlineStr">
        <is>
          <t>I</t>
        </is>
      </c>
    </row>
    <row r="171">
      <c r="A171" s="7" t="inlineStr">
        <is>
          <t>I3</t>
        </is>
      </c>
      <c r="B171" s="7" t="inlineStr">
        <is>
          <t>Tiada peralatan berlabel atau berimplikasi negatif (cth. chiller, rak pameran atau papan iklan berjenama arak) di kawasan atau seksyen yang dipersijilkan.</t>
        </is>
      </c>
      <c r="C171" s="7" t="inlineStr">
        <is>
          <t>MPPHM 17(5)(b)</t>
        </is>
      </c>
      <c r="D171" s="7" t="inlineStr"/>
      <c r="E171" s="7" t="inlineStr"/>
      <c r="F171" t="inlineStr">
        <is>
          <t>I</t>
        </is>
      </c>
    </row>
    <row r="172">
      <c r="A172" s="7" t="inlineStr">
        <is>
          <t>I4</t>
        </is>
      </c>
      <c r="B172" s="7" t="inlineStr">
        <is>
          <t>Status halal peralatan bersumberkan haiwan disahkan (cth. berus bulu untuk membersihkan kenderaan atau tangki).</t>
        </is>
      </c>
      <c r="C172" s="7" t="inlineStr">
        <is>
          <t>MPPHM 17(5)(c)</t>
        </is>
      </c>
      <c r="D172" s="7" t="inlineStr"/>
      <c r="E172" s="7" t="inlineStr"/>
      <c r="F172" t="inlineStr">
        <is>
          <t>I</t>
        </is>
      </c>
    </row>
    <row r="173">
      <c r="A173" s="7" t="inlineStr">
        <is>
          <t>I5</t>
        </is>
      </c>
      <c r="B173" s="7" t="inlineStr">
        <is>
          <t>Peralatan dalam keadaan baik, bersih, tidak toksik dan tidak berkarat, dan jadual pembersihan serta penyelenggaraan berkala (termasuk unit penyejuk kenderaan, bilik sejuk dan MHE) dilaksanakan dan direkodkan.</t>
        </is>
      </c>
      <c r="C173" s="7" t="inlineStr">
        <is>
          <t>MPPHM 17(5)(d), 17(5)(e)</t>
        </is>
      </c>
      <c r="D173" s="7" t="inlineStr"/>
      <c r="E173" s="7" t="inlineStr"/>
      <c r="F173" t="inlineStr">
        <is>
          <t>I</t>
        </is>
      </c>
    </row>
    <row r="174">
      <c r="A174" s="7" t="inlineStr">
        <is>
          <t>I6</t>
        </is>
      </c>
      <c r="B174" s="7" t="inlineStr">
        <is>
          <t>Alat pemantau suhu (termometer, pencatat data) dan alat timbang yang digunakan untuk rekod operasi diselenggara dan disahkan ketepatannya secara berkala.</t>
        </is>
      </c>
      <c r="C174" s="7" t="inlineStr">
        <is>
          <t>MPPHM 17(5)(e), 17(5)(g)</t>
        </is>
      </c>
      <c r="D174" s="7" t="inlineStr"/>
      <c r="E174" s="7" t="inlineStr"/>
      <c r="F174" t="inlineStr">
        <is>
          <t>I</t>
        </is>
      </c>
    </row>
    <row r="175">
      <c r="A175" s="7" t="inlineStr">
        <is>
          <t>I7</t>
        </is>
      </c>
      <c r="B175" s="7" t="inlineStr">
        <is>
          <t>Peralatan rosak atau tidak digunakan dikenal pasti, dialihkan atau diasingkan.</t>
        </is>
      </c>
      <c r="C175" s="7" t="inlineStr">
        <is>
          <t>MPPHM 17(5)(f)</t>
        </is>
      </c>
      <c r="D175" s="7" t="inlineStr"/>
      <c r="E175" s="7" t="inlineStr"/>
      <c r="F175" t="inlineStr">
        <is>
          <t>I</t>
        </is>
      </c>
    </row>
    <row r="176">
      <c r="A176" s="7" t="inlineStr">
        <is>
          <t>I8</t>
        </is>
      </c>
      <c r="B176" s="7" t="inlineStr">
        <is>
          <t>Pembersihan premis, lot, kenderaan dan peralatan dibuat mengikut jadual, dan rekod pembersihan ditandatangani serta disemak.</t>
        </is>
      </c>
      <c r="C176" s="7" t="inlineStr">
        <is>
          <t>MPPHM 17(10)(a); MS 2400-1/-2/-3 kl. 7*</t>
        </is>
      </c>
      <c r="D176" s="7" t="inlineStr"/>
      <c r="E176" s="7" t="inlineStr"/>
      <c r="F176" t="inlineStr">
        <is>
          <t>I</t>
        </is>
      </c>
    </row>
    <row r="177">
      <c r="A177" s="7" t="inlineStr">
        <is>
          <t>I9</t>
        </is>
      </c>
      <c r="B177" s="7" t="inlineStr">
        <is>
          <t>Persekitaran premis bersih dan bebas daripada faktor pencemaran (sampah, air bertakung, semak).</t>
        </is>
      </c>
      <c r="C177" s="7" t="inlineStr">
        <is>
          <t>MPPHM 17(10)(b)</t>
        </is>
      </c>
      <c r="D177" s="7" t="inlineStr"/>
      <c r="E177" s="7" t="inlineStr"/>
      <c r="F177" t="inlineStr">
        <is>
          <t>I</t>
        </is>
      </c>
    </row>
    <row r="178">
      <c r="A178" s="7" t="inlineStr">
        <is>
          <t>I10</t>
        </is>
      </c>
      <c r="B178" s="7" t="inlineStr">
        <is>
          <t>Status halal bahan pencuci, sanitizer dan bahan sertu disahkan melalui sijil halal atau dokumen sokongan yang menunjukkan tiada bahan najis atau derivatif babi.</t>
        </is>
      </c>
      <c r="C178" s="7" t="inlineStr">
        <is>
          <t>MPPHM 17(1)(d); MHMS 5(7)</t>
        </is>
      </c>
      <c r="D178" s="7" t="inlineStr"/>
      <c r="E178" s="7" t="inlineStr"/>
      <c r="F178" t="inlineStr">
        <is>
          <t>I</t>
        </is>
      </c>
    </row>
    <row r="179">
      <c r="A179" s="7" t="inlineStr">
        <is>
          <t>I11</t>
        </is>
      </c>
      <c r="B179" s="7" t="inlineStr">
        <is>
          <t>Laporan analisis kualiti air tersedia jika air yang digunakan di premis (cth. untuk pembersihan, sertu atau ais) diperoleh daripada sumber selain pembekal air awam (cth. telaga atau air tadahan hujan).</t>
        </is>
      </c>
      <c r="C179" s="7" t="inlineStr">
        <is>
          <t>MPPHM 17(1)(j)</t>
        </is>
      </c>
      <c r="D179" s="7" t="inlineStr"/>
      <c r="E179" s="7" t="inlineStr"/>
      <c r="F179" t="inlineStr">
        <is>
          <t>I</t>
        </is>
      </c>
    </row>
    <row r="180">
      <c r="A180" s="7" t="inlineStr">
        <is>
          <t>I12</t>
        </is>
      </c>
      <c r="B180" s="7" t="inlineStr">
        <is>
          <t>Kawalan perosak dibuat secara berkala (oleh kontraktor atau secara dalaman) dan direkodkan (laporan rawatan, pelan umpan dan perangkap), dan tiada tanda perosak di lot, stor, outlet dan kenderaan.</t>
        </is>
      </c>
      <c r="C180" s="7" t="inlineStr">
        <is>
          <t>MPPHM 17(10)(c); MS 2400-1/-2/-3 kl. 7*</t>
        </is>
      </c>
      <c r="D180" s="7" t="inlineStr"/>
      <c r="E180" s="7" t="inlineStr"/>
      <c r="F180" t="inlineStr">
        <is>
          <t>I</t>
        </is>
      </c>
    </row>
    <row r="181">
      <c r="A181" s="7" t="inlineStr">
        <is>
          <t>I13</t>
        </is>
      </c>
      <c r="B181" s="7" t="inlineStr">
        <is>
          <t>Kemudahan basuh tangan berfungsi dan dilengkapi sabun serta tisu atau pengering tangan.</t>
        </is>
      </c>
      <c r="C181" s="7" t="inlineStr">
        <is>
          <t>MPPHM 17(10)(d)</t>
        </is>
      </c>
      <c r="D181" s="7" t="inlineStr"/>
      <c r="E181" s="7" t="inlineStr"/>
      <c r="F181" t="inlineStr">
        <is>
          <t>I</t>
        </is>
      </c>
    </row>
    <row r="182">
      <c r="A182" s="7" t="inlineStr">
        <is>
          <t>I14</t>
        </is>
      </c>
      <c r="B182" s="7" t="inlineStr">
        <is>
          <t>Tong sampah mencukupi, bertutup dan dalam keadaan baik (jenis injak kaki digalakkan).</t>
        </is>
      </c>
      <c r="C182" s="7" t="inlineStr">
        <is>
          <t>MPPHM 17(10)(e)</t>
        </is>
      </c>
      <c r="D182" s="7" t="inlineStr"/>
      <c r="E182" s="7" t="inlineStr"/>
      <c r="F182" t="inlineStr">
        <is>
          <t>I</t>
        </is>
      </c>
    </row>
    <row r="183">
      <c r="A183" s="7" t="inlineStr">
        <is>
          <t>I15</t>
        </is>
      </c>
      <c r="B183" s="7" t="inlineStr">
        <is>
          <t>Tandas bersih, tidak berbau, tidak membuka terus ke kawasan pengendalian produk, dan mempunyai prosedur pembersihan.</t>
        </is>
      </c>
      <c r="C183" s="7" t="inlineStr">
        <is>
          <t>MPPHM 17(10)(f)</t>
        </is>
      </c>
      <c r="D183" s="7" t="inlineStr"/>
      <c r="E183" s="7" t="inlineStr"/>
      <c r="F183" t="inlineStr">
        <is>
          <t>I</t>
        </is>
      </c>
    </row>
    <row r="184">
      <c r="A184" s="7" t="inlineStr">
        <is>
          <t>I16</t>
        </is>
      </c>
      <c r="B184" s="7" t="inlineStr">
        <is>
          <t>Sisa (termasuk produk rosak atau tamat tempoh, bungkusan dan sisa pembersihan) dilupuskan mengikut prosedur dan undang-undang, dan sisa daripada produk lain tidak dibawa melalui lot halal.</t>
        </is>
      </c>
      <c r="C184" s="7" t="inlineStr">
        <is>
          <t>MPPHM 17(10)(g)</t>
        </is>
      </c>
      <c r="D184" s="7" t="inlineStr"/>
      <c r="E184" s="7" t="inlineStr"/>
      <c r="F184" t="inlineStr">
        <is>
          <t>I</t>
        </is>
      </c>
    </row>
    <row r="185">
      <c r="A185" s="7" t="inlineStr">
        <is>
          <t>I17</t>
        </is>
      </c>
      <c r="B185" s="7" t="inlineStr">
        <is>
          <t>Prosedur sertu bertulis yang selaras dengan Garis Panduan Sertu Menurut Perspektif Islam (JAKIM) dan peraturan MAIN/JAIN tersedia, dan pekerja tahu tindakan yang perlu diambil apabila berlaku pencemaran najis mughallazah.</t>
        </is>
      </c>
      <c r="C185" s="7" t="inlineStr">
        <is>
          <t>MHMS 5(12); MS 2400-1 Lampiran D*; MS 2400-2 Lampiran D*; MS 2400-3 Lampiran E*</t>
        </is>
      </c>
      <c r="D185" s="7" t="inlineStr"/>
      <c r="E185" s="7" t="inlineStr"/>
      <c r="F185" t="inlineStr">
        <is>
          <t>I</t>
        </is>
      </c>
    </row>
    <row r="186">
      <c r="A186" s="7" t="inlineStr">
        <is>
          <t>I18</t>
        </is>
      </c>
      <c r="B186" s="7" t="inlineStr">
        <is>
          <t>Sertu dibuat dengan 7 kali basuhan: basuhan pertama dengan air bercampur tanah, diikuti 6 kali basuhan dengan air mutlak atau air bersih yang lain.</t>
        </is>
      </c>
      <c r="C186" s="7" t="inlineStr">
        <is>
          <t>MPPHM 3 (tafsiran 'sertu')</t>
        </is>
      </c>
      <c r="D186" s="7" t="inlineStr"/>
      <c r="E186" s="7" t="inlineStr"/>
      <c r="F186" t="inlineStr">
        <is>
          <t>I</t>
        </is>
      </c>
    </row>
    <row r="187">
      <c r="A187" s="7" t="inlineStr">
        <is>
          <t>I19</t>
        </is>
      </c>
      <c r="B187" s="7" t="inlineStr">
        <is>
          <t>Peralatan yang tercemar najis mughallazah disertu sebelum digunakan semula, dan rekod sertu (tarikh, objek, punca pencemaran, pelaksana dan pengesahan) disimpan.</t>
        </is>
      </c>
      <c r="C187" s="7" t="inlineStr">
        <is>
          <t>MPPHM 17(5)(h); MHMS 5(12)</t>
        </is>
      </c>
      <c r="D187" s="7" t="inlineStr"/>
      <c r="E187" s="7" t="inlineStr"/>
      <c r="F187" t="inlineStr">
        <is>
          <t>I</t>
        </is>
      </c>
    </row>
    <row r="188">
      <c r="A188" s="4" t="inlineStr">
        <is>
          <t>Bahagian J: Pekerja, Latihan &amp; Kemudahan</t>
        </is>
      </c>
      <c r="B188" s="5" t="n"/>
      <c r="C188" s="5" t="n"/>
      <c r="D188" s="5" t="n"/>
      <c r="E188" s="6" t="n"/>
    </row>
    <row r="189" ht="26" customHeight="1">
      <c r="A189" s="2" t="inlineStr">
        <is>
          <t>Semak senarai pekerja, jadual syif dan rekod latihan, perhatikan amalan pekerja di gudang, kenderaan dan outlet, dan periksa kemudahan solat, persalinan, rehat serta loker.</t>
        </is>
      </c>
    </row>
    <row r="190">
      <c r="A190" s="7" t="inlineStr">
        <is>
          <t>J1</t>
        </is>
      </c>
      <c r="B190" s="7" t="inlineStr">
        <is>
          <t>Jadual tugas atau syif menunjukkan pekerja Muslim yang disyaratkan mengikut kategori industri (bahagian B) bertugas di kawasan perkhidmatan logistik sepanjang operasi atau syif, dan mereka hadir semasa audit.</t>
        </is>
      </c>
      <c r="C190" s="7" t="inlineStr">
        <is>
          <t>MPPHM 17(9)(a), 18(6)(i)</t>
        </is>
      </c>
      <c r="D190" s="7" t="inlineStr"/>
      <c r="E190" s="7" t="inlineStr"/>
      <c r="F190" t="inlineStr">
        <is>
          <t>J</t>
        </is>
      </c>
    </row>
    <row r="191">
      <c r="A191" s="7" t="inlineStr">
        <is>
          <t>J2</t>
        </is>
      </c>
      <c r="B191" s="7" t="inlineStr">
        <is>
          <t>Bukti status pekerja Muslim yang dilantik tersedia (surat lantikan berjawatan tetap dan salinan MyKad warganegara Malaysia).</t>
        </is>
      </c>
      <c r="C191" s="7" t="inlineStr">
        <is>
          <t>MPPHM 18(6)(i)</t>
        </is>
      </c>
      <c r="D191" s="7" t="inlineStr"/>
      <c r="E191" s="7" t="inlineStr"/>
      <c r="F191" t="inlineStr">
        <is>
          <t>J</t>
        </is>
      </c>
    </row>
    <row r="192">
      <c r="A192" s="7" t="inlineStr">
        <is>
          <t>J3</t>
        </is>
      </c>
      <c r="B192" s="7" t="inlineStr">
        <is>
          <t>Pengambilan pekerja (termasuk pemandu, kelindan dan pekerja asing) mengikut undang-undang, dan permit kerja serta lesen memandu yang sesuai dengan kelas kenderaan masih sah.</t>
        </is>
      </c>
      <c r="C192" s="7" t="inlineStr">
        <is>
          <t>MPPHM 17(9)(g)</t>
        </is>
      </c>
      <c r="D192" s="7" t="inlineStr"/>
      <c r="E192" s="7" t="inlineStr"/>
      <c r="F192" t="inlineStr">
        <is>
          <t>J</t>
        </is>
      </c>
    </row>
    <row r="193">
      <c r="A193" s="7" t="inlineStr">
        <is>
          <t>J4</t>
        </is>
      </c>
      <c r="B193" s="7" t="inlineStr">
        <is>
          <t>Pekerja menjaga kebersihan diri dan berpakaian bersih serta sopan (cth. seragam syarikat).</t>
        </is>
      </c>
      <c r="C193" s="7" t="inlineStr">
        <is>
          <t>MPPHM 17(9)(b), 17(9)(c)</t>
        </is>
      </c>
      <c r="D193" s="7" t="inlineStr"/>
      <c r="E193" s="7" t="inlineStr"/>
      <c r="F193" t="inlineStr">
        <is>
          <t>J</t>
        </is>
      </c>
    </row>
    <row r="194">
      <c r="A194" s="7" t="inlineStr">
        <is>
          <t>J5</t>
        </is>
      </c>
      <c r="B194" s="7" t="inlineStr">
        <is>
          <t>PPE (cth. penutup kepala, sarung tangan, penutup muka, kaca mata keselamatan) disediakan dan dipakai mengikut tugas, terutamanya semasa mengendalikan produk tidak berbungkus.</t>
        </is>
      </c>
      <c r="C194" s="7" t="inlineStr">
        <is>
          <t>MPPHM 17(9)(e)</t>
        </is>
      </c>
      <c r="D194" s="7" t="inlineStr"/>
      <c r="E194" s="7" t="inlineStr"/>
      <c r="F194" t="inlineStr">
        <is>
          <t>J</t>
        </is>
      </c>
    </row>
    <row r="195">
      <c r="A195" s="7" t="inlineStr">
        <is>
          <t>J6</t>
        </is>
      </c>
      <c r="B195" s="7" t="inlineStr">
        <is>
          <t>Barang peribadi, makanan dan minuman pekerja tidak dibawa ke lot halal, kawasan aktiviti nilai tambah atau ruang muatan kenderaan.</t>
        </is>
      </c>
      <c r="C195" s="7" t="inlineStr">
        <is>
          <t>MPPHM 17(9)(d)</t>
        </is>
      </c>
      <c r="D195" s="7" t="inlineStr"/>
      <c r="E195" s="7" t="inlineStr"/>
      <c r="F195" t="inlineStr">
        <is>
          <t>J</t>
        </is>
      </c>
    </row>
    <row r="196">
      <c r="A196" s="7" t="inlineStr">
        <is>
          <t>J7</t>
        </is>
      </c>
      <c r="B196" s="7" t="inlineStr">
        <is>
          <t>Pekerja tidak merokok atau meludah di kawasan operasi.</t>
        </is>
      </c>
      <c r="C196" s="7" t="inlineStr">
        <is>
          <t>MPPHM 17(9)(f)</t>
        </is>
      </c>
      <c r="D196" s="7" t="inlineStr"/>
      <c r="E196" s="7" t="inlineStr"/>
      <c r="F196" t="inlineStr">
        <is>
          <t>J</t>
        </is>
      </c>
    </row>
    <row r="197">
      <c r="A197" s="7" t="inlineStr">
        <is>
          <t>J8</t>
        </is>
      </c>
      <c r="B197" s="7" t="inlineStr">
        <is>
          <t>Kod etika pekerja dan amalan kebersihan yang baik (GHP) diterangkan kepada pekerja dan dipatuhi.</t>
        </is>
      </c>
      <c r="C197" s="7" t="inlineStr">
        <is>
          <t>MPPHM 17(9)(h)</t>
        </is>
      </c>
      <c r="D197" s="7" t="inlineStr"/>
      <c r="E197" s="7" t="inlineStr"/>
      <c r="F197" t="inlineStr">
        <is>
          <t>J</t>
        </is>
      </c>
    </row>
    <row r="198">
      <c r="A198" s="7" t="inlineStr">
        <is>
          <t>J9</t>
        </is>
      </c>
      <c r="B198" s="7" t="inlineStr">
        <is>
          <t>Kompetensi pekerja yang mengawal HCP (cth. pemeriksa kenderaan, penyelia lot, juruwang seksyen tidak halal) ditetapkan, dan rekod latihan kerja mereka disimpan.</t>
        </is>
      </c>
      <c r="C198" s="7" t="inlineStr">
        <is>
          <t>MS 2400-1/-2/-3 kl. 7*</t>
        </is>
      </c>
      <c r="D198" s="7" t="inlineStr"/>
      <c r="E198" s="7" t="inlineStr"/>
      <c r="F198" t="inlineStr">
        <is>
          <t>J</t>
        </is>
      </c>
    </row>
    <row r="199">
      <c r="A199" s="7" t="inlineStr">
        <is>
          <t>J10</t>
        </is>
      </c>
      <c r="B199" s="7" t="inlineStr">
        <is>
          <t>Pekerja baharu menghadiri latihan kesedaran halal dalam tempoh 3 bulan dari tarikh lantikan.</t>
        </is>
      </c>
      <c r="C199" s="7" t="inlineStr">
        <is>
          <t>MPPHM 17(12)(a); MHMS 5(8)</t>
        </is>
      </c>
      <c r="D199" s="7" t="inlineStr"/>
      <c r="E199" s="7" t="inlineStr"/>
      <c r="F199" t="inlineStr">
        <is>
          <t>J</t>
        </is>
      </c>
    </row>
    <row r="200">
      <c r="A200" s="7" t="inlineStr">
        <is>
          <t>J11</t>
        </is>
      </c>
      <c r="B200" s="7" t="inlineStr">
        <is>
          <t>Semua pekerja operasi (gudang, pemandu dan kelindan, runcit) menghadiri latihan kesedaran halal sekurang-kurangnya sekali setiap 3 tahun. Latihan dikendalikan oleh organisasi yang berdaftar dengan HPB JAKIM dan meliputi konsep halal serta prosedur pensijilan.</t>
        </is>
      </c>
      <c r="C200" s="7" t="inlineStr">
        <is>
          <t>MPPHM 17(12)(b), 17(12)(c)</t>
        </is>
      </c>
      <c r="D200" s="7" t="inlineStr"/>
      <c r="E200" s="7" t="inlineStr"/>
      <c r="F200" t="inlineStr">
        <is>
          <t>J</t>
        </is>
      </c>
    </row>
    <row r="201">
      <c r="A201" s="7" t="inlineStr">
        <is>
          <t>J12</t>
        </is>
      </c>
      <c r="B201" s="7" t="inlineStr">
        <is>
          <t>Latihan atau taklimat kesedaran halal diperluas kepada pihak berkaitan (cth. pemandu subkontraktor, pemilik jenama, pembekal, pelawat) secara berterusan atau apabila perlu.</t>
        </is>
      </c>
      <c r="C201" s="7" t="inlineStr">
        <is>
          <t>MPPHM 17(12)(d); MHMS 5(8)</t>
        </is>
      </c>
      <c r="D201" s="7" t="inlineStr"/>
      <c r="E201" s="7" t="inlineStr"/>
      <c r="F201" t="inlineStr">
        <is>
          <t>J</t>
        </is>
      </c>
    </row>
    <row r="202">
      <c r="A202" s="7" t="inlineStr">
        <is>
          <t>J13</t>
        </is>
      </c>
      <c r="B202" s="7" t="inlineStr">
        <is>
          <t>Besar/sederhana: ahli JKHD menghadiri latihan kompetensi halal oleh Penyedia Latihan Halal berdaftar sekurang-kurangnya sekali setiap 3 tahun, meliputi Hukum Syarak dan fatwa, MS, MPPHM, MHMS dan undang-undang halal.</t>
        </is>
      </c>
      <c r="C202" s="7" t="inlineStr">
        <is>
          <t>MPPHM 17(12)(e), 17(12)(f); MHMS 5(8)</t>
        </is>
      </c>
      <c r="D202" s="7" t="inlineStr"/>
      <c r="E202" s="7" t="inlineStr"/>
      <c r="F202" t="inlineStr">
        <is>
          <t>J</t>
        </is>
      </c>
    </row>
    <row r="203">
      <c r="A203" s="7" t="inlineStr">
        <is>
          <t>J14</t>
        </is>
      </c>
      <c r="B203" s="7" t="inlineStr">
        <is>
          <t>Besar/sederhana: pelan operasi latihan (jenis latihan, peserta, kekerapan, cadangan tarikh, penceramah dan rekod) disediakan, dan keberkesanan latihan kesedaran halal dinilai.</t>
        </is>
      </c>
      <c r="C203" s="7" t="inlineStr">
        <is>
          <t>MHMS 5(8)</t>
        </is>
      </c>
      <c r="D203" s="7" t="inlineStr"/>
      <c r="E203" s="7" t="inlineStr"/>
      <c r="F203" t="inlineStr">
        <is>
          <t>J</t>
        </is>
      </c>
    </row>
    <row r="204">
      <c r="A204" s="7" t="inlineStr">
        <is>
          <t>J15</t>
        </is>
      </c>
      <c r="B204" s="7" t="inlineStr">
        <is>
          <t>Pengurusan memperuntukkan dana dan kemudahan untuk latihan halal, dan rekod latihan disimpan, dikemas kini dan mudah dicapai.</t>
        </is>
      </c>
      <c r="C204" s="7" t="inlineStr">
        <is>
          <t>MPPHM 17(12)(g), 17(12)(h)</t>
        </is>
      </c>
      <c r="D204" s="7" t="inlineStr"/>
      <c r="E204" s="7" t="inlineStr"/>
      <c r="F204" t="inlineStr">
        <is>
          <t>J</t>
        </is>
      </c>
    </row>
    <row r="205">
      <c r="A205" s="7" t="inlineStr">
        <is>
          <t>J16</t>
        </is>
      </c>
      <c r="B205" s="7" t="inlineStr">
        <is>
          <t>Ruang atau bilik solat disediakan di lokasi yang munasabah, bersaiz mencukupi dan dijaga dengan baik.</t>
        </is>
      </c>
      <c r="C205" s="7" t="inlineStr">
        <is>
          <t>MPPHM 17(11)(a)</t>
        </is>
      </c>
      <c r="D205" s="7" t="inlineStr"/>
      <c r="E205" s="7" t="inlineStr"/>
      <c r="F205" t="inlineStr">
        <is>
          <t>J</t>
        </is>
      </c>
    </row>
    <row r="206">
      <c r="A206" s="7" t="inlineStr">
        <is>
          <t>J17</t>
        </is>
      </c>
      <c r="B206" s="7" t="inlineStr">
        <is>
          <t>Pekerja Muslim, termasuk pemandu dalam perjalanan, diberi pelepasan dan masa yang munasabah untuk solat fardu, termasuk solat Jumaat.</t>
        </is>
      </c>
      <c r="C206" s="7" t="inlineStr">
        <is>
          <t>MPPHM 17(11)(b)</t>
        </is>
      </c>
      <c r="D206" s="7" t="inlineStr"/>
      <c r="E206" s="7" t="inlineStr"/>
      <c r="F206" t="inlineStr">
        <is>
          <t>J</t>
        </is>
      </c>
    </row>
    <row r="207">
      <c r="A207" s="7" t="inlineStr">
        <is>
          <t>J18</t>
        </is>
      </c>
      <c r="B207" s="7" t="inlineStr">
        <is>
          <t>Bilik atau ruang persalinan (untuk menukar pakaian kerja) disediakan dengan sewajarnya untuk pekerja, termasuk di gudang dan depoh.</t>
        </is>
      </c>
      <c r="C207" s="7" t="inlineStr">
        <is>
          <t>MPPHM 17(11)(c)</t>
        </is>
      </c>
      <c r="D207" s="7" t="inlineStr"/>
      <c r="E207" s="7" t="inlineStr"/>
      <c r="F207" t="inlineStr">
        <is>
          <t>J</t>
        </is>
      </c>
    </row>
    <row r="208">
      <c r="A208" s="7" t="inlineStr">
        <is>
          <t>J19</t>
        </is>
      </c>
      <c r="B208" s="7" t="inlineStr">
        <is>
          <t>Ruang makan atau rehat untuk pekerja (termasuk pemandu di depoh) disediakan dengan sewajarnya.</t>
        </is>
      </c>
      <c r="C208" s="7" t="inlineStr">
        <is>
          <t>MPPHM 17(11)(d)</t>
        </is>
      </c>
      <c r="D208" s="7" t="inlineStr"/>
      <c r="E208" s="7" t="inlineStr"/>
      <c r="F208" t="inlineStr">
        <is>
          <t>J</t>
        </is>
      </c>
    </row>
    <row r="209">
      <c r="A209" s="7" t="inlineStr">
        <is>
          <t>J20</t>
        </is>
      </c>
      <c r="B209" s="7" t="inlineStr">
        <is>
          <t>Kemudahan menyimpan barang peribadi (loker) disediakan.</t>
        </is>
      </c>
      <c r="C209" s="7" t="inlineStr">
        <is>
          <t>MPPHM 17(11)(e)</t>
        </is>
      </c>
      <c r="D209" s="7" t="inlineStr"/>
      <c r="E209" s="7" t="inlineStr"/>
      <c r="F209" t="inlineStr">
        <is>
          <t>J</t>
        </is>
      </c>
    </row>
    <row r="210">
      <c r="A210" s="4" t="inlineStr">
        <is>
          <t>Bahagian K: Penandaan, Dakwaan Halal, Sijil &amp; Logo</t>
        </is>
      </c>
      <c r="B210" s="5" t="n"/>
      <c r="C210" s="5" t="n"/>
      <c r="D210" s="5" t="n"/>
      <c r="E210" s="6" t="n"/>
    </row>
    <row r="211" ht="26" customHeight="1">
      <c r="A211" s="2" t="inlineStr">
        <is>
          <t>Periksa penandaan status halal pada palet, karton dan kontena, label produk yang dibungkus atau dilabel semula, paparan sijil, serta dakwaan halal pada kenderaan, premis dan bahan pemasaran syarikat.</t>
        </is>
      </c>
    </row>
    <row r="212">
      <c r="A212" s="7" t="inlineStr">
        <is>
          <t>K1</t>
        </is>
      </c>
      <c r="B212" s="7" t="inlineStr">
        <is>
          <t>Penandaan status halal pada palet, karton atau kontena (cth. label status halal atau kod zon) membolehkan produk halal dikenal pasti sepanjang pengendalian.</t>
        </is>
      </c>
      <c r="C212" s="7" t="inlineStr">
        <is>
          <t>MPPHM 18(6)(k)(v); MS 2400-1/-2/-3 kl. 4.5*</t>
        </is>
      </c>
      <c r="D212" s="7" t="inlineStr"/>
      <c r="E212" s="7" t="inlineStr"/>
      <c r="F212" t="inlineStr">
        <is>
          <t>K</t>
        </is>
      </c>
    </row>
    <row r="213">
      <c r="A213" s="7" t="inlineStr">
        <is>
          <t>K2</t>
        </is>
      </c>
      <c r="B213" s="7" t="inlineStr">
        <is>
          <t>Bungkusan, label dan bahan cetakan syarikat tidak bercanggah dengan Hukum Syarak: tiada nama Allah, istilah keagamaan, gambar haiwan najis mughallazah atau unsur negatif.</t>
        </is>
      </c>
      <c r="C213" s="7" t="inlineStr">
        <is>
          <t>MPPHM 17(6)(b), 17(6)(c), 17(6)(d)</t>
        </is>
      </c>
      <c r="D213" s="7" t="inlineStr"/>
      <c r="E213" s="7" t="inlineStr"/>
      <c r="F213" t="inlineStr">
        <is>
          <t>K</t>
        </is>
      </c>
    </row>
    <row r="214">
      <c r="A214" s="7" t="inlineStr">
        <is>
          <t>K3</t>
        </is>
      </c>
      <c r="B214" s="7" t="inlineStr">
        <is>
          <t>Label dan penanda dicetak dengan jelas dan kekal.</t>
        </is>
      </c>
      <c r="C214" s="7" t="inlineStr">
        <is>
          <t>MPPHM 17(6)(f)</t>
        </is>
      </c>
      <c r="D214" s="7" t="inlineStr"/>
      <c r="E214" s="7" t="inlineStr"/>
      <c r="F214" t="inlineStr">
        <is>
          <t>K</t>
        </is>
      </c>
    </row>
    <row r="215">
      <c r="A215" s="7" t="inlineStr">
        <is>
          <t>K4</t>
        </is>
      </c>
      <c r="B215" s="7" t="inlineStr">
        <is>
          <t>Pelabelan semula untuk pemilik produk (jika ada): maklumat pada label baharu sama dengan label asal yang diluluskan, dan Logo Halal Malaysia atau perkataan 'halal' tidak ditambah pada produk yang tidak diperakui.</t>
        </is>
      </c>
      <c r="C215" s="7" t="inlineStr">
        <is>
          <t>MPPHM 17(6)(e); Perintah Perakuan &amp; Penandaan Halal 2011 perenggan 4(1), 6</t>
        </is>
      </c>
      <c r="D215" s="7" t="inlineStr"/>
      <c r="E215" s="7" t="inlineStr"/>
      <c r="F215" t="inlineStr">
        <is>
          <t>K</t>
        </is>
      </c>
    </row>
    <row r="216">
      <c r="A216" s="7" t="inlineStr">
        <is>
          <t>K5</t>
        </is>
      </c>
      <c r="B216" s="7" t="inlineStr">
        <is>
          <t>Pembungkusan semula atau pelabelan (jika ada): label produk yang dibungkus di Malaysia menggunakan Bahasa Melayu (terjemahan dalam bahasa lain dibenarkan) dan mematuhi piawaian serta undang-undang pelabelan yang berkaitan.</t>
        </is>
      </c>
      <c r="C216" s="7" t="inlineStr">
        <is>
          <t>MPPHM 17(6)(i), 17(6)(h)</t>
        </is>
      </c>
      <c r="D216" s="7" t="inlineStr"/>
      <c r="E216" s="7" t="inlineStr"/>
      <c r="F216" t="inlineStr">
        <is>
          <t>K</t>
        </is>
      </c>
    </row>
    <row r="217">
      <c r="A217" s="7" t="inlineStr">
        <is>
          <t>K6</t>
        </is>
      </c>
      <c r="B217" s="7" t="inlineStr">
        <is>
          <t>Pembungkusan semula (jika ada): sukatan atau timbangan produk yang dibungkus semula memenuhi kuantiti yang dinyatakan pada label (semak beberapa unit secara rawak).</t>
        </is>
      </c>
      <c r="C217" s="7" t="inlineStr">
        <is>
          <t>MPPHM 17(2)(f)</t>
        </is>
      </c>
      <c r="D217" s="7" t="inlineStr"/>
      <c r="E217" s="7" t="inlineStr"/>
      <c r="F217" t="inlineStr">
        <is>
          <t>K</t>
        </is>
      </c>
    </row>
    <row r="218">
      <c r="A218" s="7" t="inlineStr">
        <is>
          <t>K7</t>
        </is>
      </c>
      <c r="B218" s="7" t="inlineStr">
        <is>
          <t>Dakwaan halal pada kenderaan, papan tanda gudang atau depoh, laman web, brosur dan sebut harga hanya dibuat bagi perkhidmatan, kenderaan, lot dan outlet yang dipersijilkan. Tiada dakwaan seperti 'logistik halal' bagi perkhidmatan yang tidak dipersijilkan.</t>
        </is>
      </c>
      <c r="C218" s="7" t="inlineStr">
        <is>
          <t>Perintah Perakuan &amp; Penandaan Halal 2011 perenggan 2, 4(2); Perintah Takrif Halal 2011 perenggan 3(2); APD 2011 s. 28, 29; MPPHM 17(6)(h)</t>
        </is>
      </c>
      <c r="D218" s="7" t="inlineStr"/>
      <c r="E218" s="7" t="inlineStr"/>
      <c r="F218" t="inlineStr">
        <is>
          <t>K</t>
        </is>
      </c>
    </row>
    <row r="219">
      <c r="A219" s="7" t="inlineStr">
        <is>
          <t>K8</t>
        </is>
      </c>
      <c r="B219" s="7" t="inlineStr">
        <is>
          <t>Sijil atau logo halal milik pihak lain (pelanggan, pembekal, rakan kongsi) tidak digunakan sehingga memberi gambaran bahawa perkhidmatan syarikat dipersijilkan.</t>
        </is>
      </c>
      <c r="C219" s="7" t="inlineStr">
        <is>
          <t>Perintah Perakuan &amp; Penandaan Halal 2011 perenggan 4(2); Perintah Takrif Halal 2011 perenggan 4</t>
        </is>
      </c>
      <c r="D219" s="7" t="inlineStr"/>
      <c r="E219" s="7" t="inlineStr"/>
      <c r="F219" t="inlineStr">
        <is>
          <t>K</t>
        </is>
      </c>
    </row>
    <row r="220">
      <c r="A220" s="7" t="inlineStr">
        <is>
          <t>K9</t>
        </is>
      </c>
      <c r="B220" s="7" t="inlineStr">
        <is>
          <t>Tiada ayat al-Quran atau simbol dan objek berkaitan Islam pada kenderaan, premis (gudang, depoh atau outlet runcit), rak, bungkusan atau bahan promosi yang boleh mengelirukan tentang status halal produk atau perkhidmatan.</t>
        </is>
      </c>
      <c r="C220" s="7" t="inlineStr">
        <is>
          <t>Perintah Takrif Halal 2011 perenggan 4</t>
        </is>
      </c>
      <c r="D220" s="7" t="inlineStr"/>
      <c r="E220" s="7" t="inlineStr"/>
      <c r="F220" t="inlineStr">
        <is>
          <t>K</t>
        </is>
      </c>
    </row>
    <row r="221">
      <c r="A221" s="7" t="inlineStr">
        <is>
          <t>K10</t>
        </is>
      </c>
      <c r="B221" s="7" t="inlineStr">
        <is>
          <t>SPHM yang sah dipamerkan di premis yang dipersijilkan (cth. pejabat gudang, depoh, outlet runcit), dan nama, alamat, skop serta tempoh sahnya sepadan dengan operasi yang diaudit.</t>
        </is>
      </c>
      <c r="C221" s="7" t="inlineStr">
        <is>
          <t>MPPHM 34, 35, 36</t>
        </is>
      </c>
      <c r="D221" s="7" t="inlineStr"/>
      <c r="E221" s="7" t="inlineStr"/>
      <c r="F221" t="inlineStr">
        <is>
          <t>K</t>
        </is>
      </c>
    </row>
    <row r="222">
      <c r="A222" s="7" t="inlineStr">
        <is>
          <t>K11</t>
        </is>
      </c>
      <c r="B222" s="7" t="inlineStr">
        <is>
          <t>Sijil digunakan hanya bagi skop yang diluluskan (premis, lot, kenderaan dan outlet yang tersenarai), dan tidak digunakan bagi cawangan, kenderaan atau perkhidmatan lain.</t>
        </is>
      </c>
      <c r="C222" s="7" t="inlineStr">
        <is>
          <t>MPPHM 36; Perintah Perakuan &amp; Penandaan Halal 2011 perenggan 4(2)</t>
        </is>
      </c>
      <c r="D222" s="7" t="inlineStr"/>
      <c r="E222" s="7" t="inlineStr"/>
      <c r="F222" t="inlineStr">
        <is>
          <t>K</t>
        </is>
      </c>
    </row>
    <row r="223">
      <c r="A223" s="7" t="inlineStr">
        <is>
          <t>K12</t>
        </is>
      </c>
      <c r="B223" s="7" t="inlineStr">
        <is>
          <t>Logo Halal Malaysia (jika dipaparkan pada premis, kenderaan atau bahan promosi) hanya digunakan bagi perkhidmatan yang dipersijilkan dan tidak diubah bentuk, warna atau perkadarannya.</t>
        </is>
      </c>
      <c r="C223" s="7" t="inlineStr">
        <is>
          <t>MPPHM 40, 41</t>
        </is>
      </c>
      <c r="D223" s="7" t="inlineStr"/>
      <c r="E223" s="7" t="inlineStr"/>
      <c r="F223" t="inlineStr">
        <is>
          <t>K</t>
        </is>
      </c>
    </row>
    <row r="224">
      <c r="A224" s="4" t="inlineStr">
        <is>
          <t>Bahagian L: Dokumentasi, Rekod, Kebolehkesanan &amp; Audit Dalaman</t>
        </is>
      </c>
      <c r="B224" s="5" t="n"/>
      <c r="C224" s="5" t="n"/>
      <c r="D224" s="5" t="n"/>
      <c r="E224" s="6" t="n"/>
    </row>
    <row r="225" ht="26" customHeight="1">
      <c r="A225" s="2" t="inlineStr">
        <is>
          <t>Semak fail dan rekod di pejabat atau dalam sistem elektronik, jalankan ujian kebolehkesanan ke atas satu penghantaran, dan semak audit dalaman, semakan HAS serta aduan.</t>
        </is>
      </c>
    </row>
    <row r="226">
      <c r="A226" s="7" t="inlineStr">
        <is>
          <t>L1</t>
        </is>
      </c>
      <c r="B226" s="7" t="inlineStr">
        <is>
          <t>Dokumen dikemas kini dan mudah dicapai: fail permohonan MYeHALAL, fail MHMS (HAS atau IHCS), sijil, lesen dan permit, rekod pekerja dan latihan, rekod pembersihan dan sertu, rekod kawalan perosak, rekod penerimaan dan penghantaran, serta laporan audit terdahulu.</t>
        </is>
      </c>
      <c r="C226" s="7" t="inlineStr">
        <is>
          <t>MPPHM 17(14)(a), 17(14)(b); MHMS 5(13)</t>
        </is>
      </c>
      <c r="D226" s="7" t="inlineStr"/>
      <c r="E226" s="7" t="inlineStr"/>
      <c r="F226" t="inlineStr">
        <is>
          <t>L</t>
        </is>
      </c>
    </row>
    <row r="227">
      <c r="A227" s="7" t="inlineStr">
        <is>
          <t>L2</t>
        </is>
      </c>
      <c r="B227" s="7" t="inlineStr">
        <is>
          <t>Rekod disimpan sekurang-kurangnya 3 tahun, pemohon baharu mempunyai rekod sekurang-kurangnya 3 bulan, dan dokumen sokongan disimpan dalam fail berasingan yang bernombor rujukan.</t>
        </is>
      </c>
      <c r="C227" s="7" t="inlineStr">
        <is>
          <t>MPPHM 17(14)(c), 17(14)(d); MHMS 5(13)</t>
        </is>
      </c>
      <c r="D227" s="7" t="inlineStr"/>
      <c r="E227" s="7" t="inlineStr"/>
      <c r="F227" t="inlineStr">
        <is>
          <t>L</t>
        </is>
      </c>
    </row>
    <row r="228">
      <c r="A228" s="7" t="inlineStr">
        <is>
          <t>L3</t>
        </is>
      </c>
      <c r="B228" s="7" t="inlineStr">
        <is>
          <t>Ujian kebolehkesanan: satu penghantaran dapat dikesan satu langkah ke belakang (pemilik kargo atau pembekal, dokumen penerimaan) dan satu langkah ke hadapan (penerima), termasuk lot simpanan, kenderaan, pemandu dan tarikh yang terlibat.</t>
        </is>
      </c>
      <c r="C228" s="7" t="inlineStr">
        <is>
          <t>MHMS 5(9), 6(3), 7(4)(b)(iii); MS 2400-1/-2/-3 kl. 6*</t>
        </is>
      </c>
      <c r="D228" s="7" t="inlineStr"/>
      <c r="E228" s="7" t="inlineStr"/>
      <c r="F228" t="inlineStr">
        <is>
          <t>L</t>
        </is>
      </c>
    </row>
    <row r="229">
      <c r="A229" s="7" t="inlineStr">
        <is>
          <t>L4</t>
        </is>
      </c>
      <c r="B229" s="7" t="inlineStr">
        <is>
          <t>Prosedur penarikan balik (withdrawal/recall) tersedia. Bagi syarikat HAS, latihan penarikan balik (mock recall) dibuat sekurang-kurangnya sekali setahun dan direkodkan.</t>
        </is>
      </c>
      <c r="C229" s="7" t="inlineStr">
        <is>
          <t>MHMS 5(9)</t>
        </is>
      </c>
      <c r="D229" s="7" t="inlineStr"/>
      <c r="E229" s="7" t="inlineStr"/>
      <c r="F229" t="inlineStr">
        <is>
          <t>L</t>
        </is>
      </c>
    </row>
    <row r="230">
      <c r="A230" s="7" t="inlineStr">
        <is>
          <t>L5</t>
        </is>
      </c>
      <c r="B230" s="7" t="inlineStr">
        <is>
          <t>Besar/sederhana: prosedur audit halal dalaman bertulis tersedia, dan audit dibuat sekurang-kurangnya sekali setahun di setiap cawangan (gudang, depoh, outlet), meliputi pematuhan prosedur pensijilan dan HCP.</t>
        </is>
      </c>
      <c r="C230" s="7" t="inlineStr">
        <is>
          <t>MHMS 5(5); MS 2400-1/-2/-3 kl. 8*</t>
        </is>
      </c>
      <c r="D230" s="7" t="inlineStr"/>
      <c r="E230" s="7" t="inlineStr"/>
      <c r="F230" t="inlineStr">
        <is>
          <t>L</t>
        </is>
      </c>
    </row>
    <row r="231">
      <c r="A231" s="7" t="inlineStr">
        <is>
          <t>L6</t>
        </is>
      </c>
      <c r="B231" s="7" t="inlineStr">
        <is>
          <t>Besar/sederhana: juruaudit halal dalaman dilantik oleh JKHD dan memegang Sijil Audit Halal Dalaman atau Sijil Eksekutif Halal daripada Penyedia Latihan Halal berdaftar.</t>
        </is>
      </c>
      <c r="C231" s="7" t="inlineStr">
        <is>
          <t>MHMS 5(5)</t>
        </is>
      </c>
      <c r="D231" s="7" t="inlineStr"/>
      <c r="E231" s="7" t="inlineStr"/>
      <c r="F231" t="inlineStr">
        <is>
          <t>L</t>
        </is>
      </c>
    </row>
    <row r="232">
      <c r="A232" s="7" t="inlineStr">
        <is>
          <t>L7</t>
        </is>
      </c>
      <c r="B232" s="7" t="inlineStr">
        <is>
          <t>Besar/sederhana: jika audit halal dalaman dijalankan oleh pihak ketiga, juruauditnya memegang Sijil Internal Halal Auditing daripada Penyedia Latihan Halal yang berdaftar dengan HPB JAKIM.</t>
        </is>
      </c>
      <c r="C232" s="7" t="inlineStr">
        <is>
          <t>MHMS 5(5)</t>
        </is>
      </c>
      <c r="D232" s="7" t="inlineStr"/>
      <c r="E232" s="7" t="inlineStr"/>
      <c r="F232" t="inlineStr">
        <is>
          <t>L</t>
        </is>
      </c>
    </row>
    <row r="233">
      <c r="A233" s="7" t="inlineStr">
        <is>
          <t>L8</t>
        </is>
      </c>
      <c r="B233" s="7" t="inlineStr">
        <is>
          <t>Besar/sederhana: penemuan dan senarai semak audit halal dalaman direkodkan dan dibentangkan kepada JKHD, dan tindakan pembetulan dilaksanakan dengan segera serta disahkan oleh JKHD.</t>
        </is>
      </c>
      <c r="C233" s="7" t="inlineStr">
        <is>
          <t>MHMS 5(5)</t>
        </is>
      </c>
      <c r="D233" s="7" t="inlineStr"/>
      <c r="E233" s="7" t="inlineStr"/>
      <c r="F233" t="inlineStr">
        <is>
          <t>L</t>
        </is>
      </c>
    </row>
    <row r="234">
      <c r="A234" s="7" t="inlineStr">
        <is>
          <t>L9</t>
        </is>
      </c>
      <c r="B234" s="7" t="inlineStr">
        <is>
          <t>Besar/sederhana: JKHD menilai keberkesanan dan kekerapan audit halal dalaman (cth. direkodkan dalam minit mesyuarat), dan kekerapan audit ditambah jika perlu untuk mengelakkan ketidakakuran.</t>
        </is>
      </c>
      <c r="C234" s="7" t="inlineStr">
        <is>
          <t>MHMS 5(5)</t>
        </is>
      </c>
      <c r="D234" s="7" t="inlineStr"/>
      <c r="E234" s="7" t="inlineStr"/>
      <c r="F234" t="inlineStr">
        <is>
          <t>L</t>
        </is>
      </c>
    </row>
    <row r="235">
      <c r="A235" s="7" t="inlineStr">
        <is>
          <t>L10</t>
        </is>
      </c>
      <c r="B235" s="7" t="inlineStr">
        <is>
          <t>Besar/sederhana: semakan HAS dibuat sekurang-kurangnya sekali setahun oleh JKHD bersama pengurusan atasan, meliputi keberkesanan HAS dan JKHD, dan keputusannya diluluskan secara bertulis.</t>
        </is>
      </c>
      <c r="C235" s="7" t="inlineStr">
        <is>
          <t>MHMS 5(10); MS 2400-1/-2/-3 kl. 8*</t>
        </is>
      </c>
      <c r="D235" s="7" t="inlineStr"/>
      <c r="E235" s="7" t="inlineStr"/>
      <c r="F235" t="inlineStr">
        <is>
          <t>L</t>
        </is>
      </c>
    </row>
    <row r="236">
      <c r="A236" s="7" t="inlineStr">
        <is>
          <t>L11</t>
        </is>
      </c>
      <c r="B236" s="7" t="inlineStr">
        <is>
          <t>Aduan pelanggan atau pihak lain berkaitan halal (cth. dakwaan pencemaran, meterai rosak, salah muat) direkodkan, disiasat dan ditutup dengan tindakan pembetulan.</t>
        </is>
      </c>
      <c r="C236" s="7" t="inlineStr">
        <is>
          <t>MS 2400-1/-2/-3 kl. 8*</t>
        </is>
      </c>
      <c r="D236" s="7" t="inlineStr"/>
      <c r="E236" s="7" t="inlineStr"/>
      <c r="F236" t="inlineStr">
        <is>
          <t>L</t>
        </is>
      </c>
    </row>
    <row r="237">
      <c r="A237" s="7" t="inlineStr">
        <is>
          <t>L12</t>
        </is>
      </c>
      <c r="B237" s="7" t="inlineStr">
        <is>
          <t>Analisis makmal (jika berkaitan, cth. ujian DNA babi selepas insiden pencemaran) dibuat di makmal yang ditetapkan (MyHAC, Jabatan Kimia Malaysia atau makmal panel yang dilantik JAKIM), dan rekodnya disimpan.</t>
        </is>
      </c>
      <c r="C237" s="7" t="inlineStr">
        <is>
          <t>MHMS 5(11)</t>
        </is>
      </c>
      <c r="D237" s="7" t="inlineStr"/>
      <c r="E237" s="7" t="inlineStr"/>
      <c r="F237" t="inlineStr">
        <is>
          <t>L</t>
        </is>
      </c>
    </row>
    <row r="238">
      <c r="A238" s="7" t="inlineStr">
        <is>
          <t>L13</t>
        </is>
      </c>
      <c r="B238" s="7" t="inlineStr">
        <is>
          <t>Semua ketidakakuran daripada audit pensijilan terdahulu telah ditutup dengan bukti tindakan pembetulan.</t>
        </is>
      </c>
      <c r="C238" s="7" t="inlineStr">
        <is>
          <t>MPPHM 17(14)(b)</t>
        </is>
      </c>
      <c r="D238" s="7" t="inlineStr"/>
      <c r="E238" s="7" t="inlineStr"/>
      <c r="F238" t="inlineStr">
        <is>
          <t>L</t>
        </is>
      </c>
    </row>
    <row r="239">
      <c r="A239" s="7" t="inlineStr">
        <is>
          <t>L14</t>
        </is>
      </c>
      <c r="B239" s="7" t="inlineStr">
        <is>
          <t>Rekod pemeriksaan dan notis daripada agensi berkaitan (cth. JKDM, JPJ, APAD, KKM, JPV, PBT) serta tindakan susulannya disimpan.</t>
        </is>
      </c>
      <c r="C239" s="7" t="inlineStr">
        <is>
          <t>MPPHM 17(16)(a), 56</t>
        </is>
      </c>
      <c r="D239" s="7" t="inlineStr"/>
      <c r="E239" s="7" t="inlineStr"/>
      <c r="F239" t="inlineStr">
        <is>
          <t>L</t>
        </is>
      </c>
    </row>
  </sheetData>
  <mergeCells count="25">
    <mergeCell ref="A48:E48"/>
    <mergeCell ref="A49:E49"/>
    <mergeCell ref="A225:E225"/>
    <mergeCell ref="A168:E168"/>
    <mergeCell ref="A6:E6"/>
    <mergeCell ref="A146:E146"/>
    <mergeCell ref="A124:E124"/>
    <mergeCell ref="A7:E7"/>
    <mergeCell ref="A25:E25"/>
    <mergeCell ref="A99:E99"/>
    <mergeCell ref="A84:E84"/>
    <mergeCell ref="A66:E66"/>
    <mergeCell ref="A145:E145"/>
    <mergeCell ref="A189:E189"/>
    <mergeCell ref="A3:E3"/>
    <mergeCell ref="A26:E26"/>
    <mergeCell ref="A210:E210"/>
    <mergeCell ref="A85:E85"/>
    <mergeCell ref="A188:E188"/>
    <mergeCell ref="A224:E224"/>
    <mergeCell ref="A100:E100"/>
    <mergeCell ref="A125:E125"/>
    <mergeCell ref="A211:E211"/>
    <mergeCell ref="A167:E167"/>
    <mergeCell ref="A67:E67"/>
  </mergeCells>
  <conditionalFormatting sqref="D6:D239">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7 D28 D29 D30 D31 D32 D33 D34 D35 D36 D37 D38 D39 D40 D41 D42 D43 D44 D45 D46 D47 D50 D51 D52 D53 D54 D55 D56 D57 D58 D59 D60 D61 D62 D63 D64 D65 D68 D69 D70 D71 D72 D73 D74 D75 D76 D77 D78 D79 D80 D81 D82 D83 D86 D87 D88 D89 D90 D91 D92 D93 D94 D95 D96 D97 D98 D101 D102 D103 D104 D105 D106 D107 D108 D109 D110 D111 D112 D113 D114 D115 D116 D117 D118 D119 D120 D121 D122 D123 D126 D127 D128 D129 D130 D131 D132 D133 D134 D135 D136 D137 D138 D139 D140 D141 D142 D143 D144 D147 D148 D149 D150 D151 D152 D153 D154 D155 D156 D157 D158 D159 D160 D161 D162 D163 D164 D165 D166 D169 D170 D171 D172 D173 D174 D175 D176 D177 D178 D179 D180 D181 D182 D183 D184 D185 D186 D187 D190 D191 D192 D193 D194 D195 D196 D197 D198 D199 D200 D201 D202 D203 D204 D205 D206 D207 D208 D209 D212 D213 D214 D215 D216 D217 D218 D219 D220 D221 D222 D223 D226 D227 D228 D229 D230 D231 D232 D233 D234 D235 D236 D237 D238 D239"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6"/>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Perkhidmatan Logistik</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Skop Permohonan</t>
        </is>
      </c>
      <c r="B4" t="n">
        <v>17</v>
      </c>
      <c r="C4">
        <f>COUNTIFS('Senarai Semak'!$F$6:$F$239,"A",'Senarai Semak'!$D$6:$D$239,"Ya")</f>
        <v/>
      </c>
      <c r="D4">
        <f>COUNTIFS('Senarai Semak'!$F$6:$F$239,"A",'Senarai Semak'!$D$6:$D$239,"Tidak")</f>
        <v/>
      </c>
      <c r="E4">
        <f>COUNTIFS('Senarai Semak'!$F$6:$F$239,"A",'Senarai Semak'!$D$6:$D$239,"TB")</f>
        <v/>
      </c>
      <c r="F4">
        <f>B4-C4-D4-E4</f>
        <v/>
      </c>
      <c r="G4" s="10">
        <f>IF(C4+D4=0,"",C4/(C4+D4))</f>
        <v/>
      </c>
    </row>
    <row r="5">
      <c r="A5" t="inlineStr">
        <is>
          <t>B: Pengurusan Halal &amp; MHMS mengikut Saiz Syarikat</t>
        </is>
      </c>
      <c r="B5" t="n">
        <v>21</v>
      </c>
      <c r="C5">
        <f>COUNTIFS('Senarai Semak'!$F$6:$F$239,"B",'Senarai Semak'!$D$6:$D$239,"Ya")</f>
        <v/>
      </c>
      <c r="D5">
        <f>COUNTIFS('Senarai Semak'!$F$6:$F$239,"B",'Senarai Semak'!$D$6:$D$239,"Tidak")</f>
        <v/>
      </c>
      <c r="E5">
        <f>COUNTIFS('Senarai Semak'!$F$6:$F$239,"B",'Senarai Semak'!$D$6:$D$239,"TB")</f>
        <v/>
      </c>
      <c r="F5">
        <f>B5-C5-D5-E5</f>
        <v/>
      </c>
      <c r="G5" s="10">
        <f>IF(C5+D5=0,"",C5/(C5+D5))</f>
        <v/>
      </c>
    </row>
    <row r="6">
      <c r="A6" t="inlineStr">
        <is>
          <t>C: Pelan Pengurusan Risiko Halal &amp; Sistem Maklumat</t>
        </is>
      </c>
      <c r="B6" t="n">
        <v>16</v>
      </c>
      <c r="C6">
        <f>COUNTIFS('Senarai Semak'!$F$6:$F$239,"C",'Senarai Semak'!$D$6:$D$239,"Ya")</f>
        <v/>
      </c>
      <c r="D6">
        <f>COUNTIFS('Senarai Semak'!$F$6:$F$239,"C",'Senarai Semak'!$D$6:$D$239,"Tidak")</f>
        <v/>
      </c>
      <c r="E6">
        <f>COUNTIFS('Senarai Semak'!$F$6:$F$239,"C",'Senarai Semak'!$D$6:$D$239,"TB")</f>
        <v/>
      </c>
      <c r="F6">
        <f>B6-C6-D6-E6</f>
        <v/>
      </c>
      <c r="G6" s="10">
        <f>IF(C6+D6=0,"",C6/(C6+D6))</f>
        <v/>
      </c>
    </row>
    <row r="7">
      <c r="A7" t="inlineStr">
        <is>
          <t>D: Produk, Kargo, Bahan Guna Habis &amp; Subkontraktor</t>
        </is>
      </c>
      <c r="B7" t="n">
        <v>16</v>
      </c>
      <c r="C7">
        <f>COUNTIFS('Senarai Semak'!$F$6:$F$239,"D",'Senarai Semak'!$D$6:$D$239,"Ya")</f>
        <v/>
      </c>
      <c r="D7">
        <f>COUNTIFS('Senarai Semak'!$F$6:$F$239,"D",'Senarai Semak'!$D$6:$D$239,"Tidak")</f>
        <v/>
      </c>
      <c r="E7">
        <f>COUNTIFS('Senarai Semak'!$F$6:$F$239,"D",'Senarai Semak'!$D$6:$D$239,"TB")</f>
        <v/>
      </c>
      <c r="F7">
        <f>B7-C7-D7-E7</f>
        <v/>
      </c>
      <c r="G7" s="10">
        <f>IF(C7+D7=0,"",C7/(C7+D7))</f>
        <v/>
      </c>
    </row>
    <row r="8">
      <c r="A8" t="inlineStr">
        <is>
          <t>E: Premis, Infrastruktur &amp; Persekitaran</t>
        </is>
      </c>
      <c r="B8" t="n">
        <v>13</v>
      </c>
      <c r="C8">
        <f>COUNTIFS('Senarai Semak'!$F$6:$F$239,"E",'Senarai Semak'!$D$6:$D$239,"Ya")</f>
        <v/>
      </c>
      <c r="D8">
        <f>COUNTIFS('Senarai Semak'!$F$6:$F$239,"E",'Senarai Semak'!$D$6:$D$239,"Tidak")</f>
        <v/>
      </c>
      <c r="E8">
        <f>COUNTIFS('Senarai Semak'!$F$6:$F$239,"E",'Senarai Semak'!$D$6:$D$239,"TB")</f>
        <v/>
      </c>
      <c r="F8">
        <f>B8-C8-D8-E8</f>
        <v/>
      </c>
      <c r="G8" s="10">
        <f>IF(C8+D8=0,"",C8/(C8+D8))</f>
        <v/>
      </c>
    </row>
    <row r="9">
      <c r="A9" t="inlineStr">
        <is>
          <t>F: Pengangkutan: Kenderaan, Kontena &amp; Penghantaran (MS 2400-1)</t>
        </is>
      </c>
      <c r="B9" t="n">
        <v>23</v>
      </c>
      <c r="C9">
        <f>COUNTIFS('Senarai Semak'!$F$6:$F$239,"F",'Senarai Semak'!$D$6:$D$239,"Ya")</f>
        <v/>
      </c>
      <c r="D9">
        <f>COUNTIFS('Senarai Semak'!$F$6:$F$239,"F",'Senarai Semak'!$D$6:$D$239,"Tidak")</f>
        <v/>
      </c>
      <c r="E9">
        <f>COUNTIFS('Senarai Semak'!$F$6:$F$239,"F",'Senarai Semak'!$D$6:$D$239,"TB")</f>
        <v/>
      </c>
      <c r="F9">
        <f>B9-C9-D9-E9</f>
        <v/>
      </c>
      <c r="G9" s="10">
        <f>IF(C9+D9=0,"",C9/(C9+D9))</f>
        <v/>
      </c>
    </row>
    <row r="10">
      <c r="A10" t="inlineStr">
        <is>
          <t>G: Pergudangan: Lot Halal, Penyimpanan &amp; Rantaian Sejuk (MS 2400-2)</t>
        </is>
      </c>
      <c r="B10" t="n">
        <v>19</v>
      </c>
      <c r="C10">
        <f>COUNTIFS('Senarai Semak'!$F$6:$F$239,"G",'Senarai Semak'!$D$6:$D$239,"Ya")</f>
        <v/>
      </c>
      <c r="D10">
        <f>COUNTIFS('Senarai Semak'!$F$6:$F$239,"G",'Senarai Semak'!$D$6:$D$239,"Tidak")</f>
        <v/>
      </c>
      <c r="E10">
        <f>COUNTIFS('Senarai Semak'!$F$6:$F$239,"G",'Senarai Semak'!$D$6:$D$239,"TB")</f>
        <v/>
      </c>
      <c r="F10">
        <f>B10-C10-D10-E10</f>
        <v/>
      </c>
      <c r="G10" s="10">
        <f>IF(C10+D10=0,"",C10/(C10+D10))</f>
        <v/>
      </c>
    </row>
    <row r="11">
      <c r="A11" t="inlineStr">
        <is>
          <t>H: Peruncitan: Pengedar, Pedagang &amp; Peruncit Makanan (MS 2400-3)</t>
        </is>
      </c>
      <c r="B11" t="n">
        <v>20</v>
      </c>
      <c r="C11">
        <f>COUNTIFS('Senarai Semak'!$F$6:$F$239,"H",'Senarai Semak'!$D$6:$D$239,"Ya")</f>
        <v/>
      </c>
      <c r="D11">
        <f>COUNTIFS('Senarai Semak'!$F$6:$F$239,"H",'Senarai Semak'!$D$6:$D$239,"Tidak")</f>
        <v/>
      </c>
      <c r="E11">
        <f>COUNTIFS('Senarai Semak'!$F$6:$F$239,"H",'Senarai Semak'!$D$6:$D$239,"TB")</f>
        <v/>
      </c>
      <c r="F11">
        <f>B11-C11-D11-E11</f>
        <v/>
      </c>
      <c r="G11" s="10">
        <f>IF(C11+D11=0,"",C11/(C11+D11))</f>
        <v/>
      </c>
    </row>
    <row r="12">
      <c r="A12" t="inlineStr">
        <is>
          <t>I: Peralatan, Kebersihan, Kawalan Perosak &amp; Sertu</t>
        </is>
      </c>
      <c r="B12" t="n">
        <v>19</v>
      </c>
      <c r="C12">
        <f>COUNTIFS('Senarai Semak'!$F$6:$F$239,"I",'Senarai Semak'!$D$6:$D$239,"Ya")</f>
        <v/>
      </c>
      <c r="D12">
        <f>COUNTIFS('Senarai Semak'!$F$6:$F$239,"I",'Senarai Semak'!$D$6:$D$239,"Tidak")</f>
        <v/>
      </c>
      <c r="E12">
        <f>COUNTIFS('Senarai Semak'!$F$6:$F$239,"I",'Senarai Semak'!$D$6:$D$239,"TB")</f>
        <v/>
      </c>
      <c r="F12">
        <f>B12-C12-D12-E12</f>
        <v/>
      </c>
      <c r="G12" s="10">
        <f>IF(C12+D12=0,"",C12/(C12+D12))</f>
        <v/>
      </c>
    </row>
    <row r="13">
      <c r="A13" t="inlineStr">
        <is>
          <t>J: Pekerja, Latihan &amp; Kemudahan</t>
        </is>
      </c>
      <c r="B13" t="n">
        <v>20</v>
      </c>
      <c r="C13">
        <f>COUNTIFS('Senarai Semak'!$F$6:$F$239,"J",'Senarai Semak'!$D$6:$D$239,"Ya")</f>
        <v/>
      </c>
      <c r="D13">
        <f>COUNTIFS('Senarai Semak'!$F$6:$F$239,"J",'Senarai Semak'!$D$6:$D$239,"Tidak")</f>
        <v/>
      </c>
      <c r="E13">
        <f>COUNTIFS('Senarai Semak'!$F$6:$F$239,"J",'Senarai Semak'!$D$6:$D$239,"TB")</f>
        <v/>
      </c>
      <c r="F13">
        <f>B13-C13-D13-E13</f>
        <v/>
      </c>
      <c r="G13" s="10">
        <f>IF(C13+D13=0,"",C13/(C13+D13))</f>
        <v/>
      </c>
    </row>
    <row r="14">
      <c r="A14" t="inlineStr">
        <is>
          <t>K: Penandaan, Dakwaan Halal, Sijil &amp; Logo</t>
        </is>
      </c>
      <c r="B14" t="n">
        <v>12</v>
      </c>
      <c r="C14">
        <f>COUNTIFS('Senarai Semak'!$F$6:$F$239,"K",'Senarai Semak'!$D$6:$D$239,"Ya")</f>
        <v/>
      </c>
      <c r="D14">
        <f>COUNTIFS('Senarai Semak'!$F$6:$F$239,"K",'Senarai Semak'!$D$6:$D$239,"Tidak")</f>
        <v/>
      </c>
      <c r="E14">
        <f>COUNTIFS('Senarai Semak'!$F$6:$F$239,"K",'Senarai Semak'!$D$6:$D$239,"TB")</f>
        <v/>
      </c>
      <c r="F14">
        <f>B14-C14-D14-E14</f>
        <v/>
      </c>
      <c r="G14" s="10">
        <f>IF(C14+D14=0,"",C14/(C14+D14))</f>
        <v/>
      </c>
    </row>
    <row r="15">
      <c r="A15" t="inlineStr">
        <is>
          <t>L: Dokumentasi, Rekod, Kebolehkesanan &amp; Audit Dalaman</t>
        </is>
      </c>
      <c r="B15" t="n">
        <v>14</v>
      </c>
      <c r="C15">
        <f>COUNTIFS('Senarai Semak'!$F$6:$F$239,"L",'Senarai Semak'!$D$6:$D$239,"Ya")</f>
        <v/>
      </c>
      <c r="D15">
        <f>COUNTIFS('Senarai Semak'!$F$6:$F$239,"L",'Senarai Semak'!$D$6:$D$239,"Tidak")</f>
        <v/>
      </c>
      <c r="E15">
        <f>COUNTIFS('Senarai Semak'!$F$6:$F$239,"L",'Senarai Semak'!$D$6:$D$239,"TB")</f>
        <v/>
      </c>
      <c r="F15">
        <f>B15-C15-D15-E15</f>
        <v/>
      </c>
      <c r="G15" s="10">
        <f>IF(C15+D15=0,"",C15/(C15+D15))</f>
        <v/>
      </c>
    </row>
    <row r="16">
      <c r="A16" s="11" t="inlineStr">
        <is>
          <t>Jumlah</t>
        </is>
      </c>
      <c r="B16" s="11">
        <f>SUM(B4:B15)</f>
        <v/>
      </c>
      <c r="C16" s="11">
        <f>SUM(C4:C15)</f>
        <v/>
      </c>
      <c r="D16" s="11">
        <f>SUM(D4:D15)</f>
        <v/>
      </c>
      <c r="E16" s="11">
        <f>SUM(E4:E15)</f>
        <v/>
      </c>
      <c r="F16" s="11">
        <f>SUM(F4:F15)</f>
        <v/>
      </c>
      <c r="G16" s="10">
        <f>IF(C16+D16=0,"",C16/(C16+D16))</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4"/>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(WebFetch) bagi s. 3, 4, 5, 6, 8 (Jadual 1), 17 dan 18(6)(a)-(l). Bagi s. 19, 20, 34-36, 40, 41, 56 dan 60, hanya tajuk dalam jadual kandungan yang disemak kerana teks badan selepas s. 18 tiada dalam salinan yang boleh diekstrak.</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di serunai.com kerana pautan rasmi myehalal.halal.gov.my dialihkan ke laman utama. Bahagian yang dibaca ialah 4 (tafsiran), 5(1)-5(13) (HAS), 6(1)-6(3) (IHCS), 7(4) (Logistik) dan Lampiran B (huraian tugas Eksekutif Halal).</t>
        </is>
      </c>
      <c r="D3" s="14" t="inlineStr">
        <is>
          <t>https://serunai.com/wp-content/uploads/2023/03/SPHM-2020.pdf</t>
        </is>
      </c>
    </row>
    <row r="4">
      <c r="A4" s="14" t="inlineStr">
        <is>
          <t>MS 2400-1</t>
        </is>
      </c>
      <c r="B4" s="14" t="inlineStr">
        <is>
          <t>MS 2400-1:2019 Halal supply chain management system - Part 1: Transportation - General requirements (First revision)</t>
        </is>
      </c>
      <c r="C4" s="14" t="inlineStr">
        <is>
          <t>Pratonton rasmi JSM (MySOL), hanya jadual kandungan dan Prakata: klausa 4.1-4.5, 5-8 dan Lampiran A-D (Lampiran D: sertu), serta senarai pindaan (a)-(o). Teks klausa tidak kelihatan, jadi semua rujukan diberi tanda *.</t>
        </is>
      </c>
      <c r="D4" s="14" t="inlineStr">
        <is>
          <t>https://mysol.jsm.gov.my/getPdfFileForAdmin/eyJpdiI6Ik96KzdCTC9ndE4xSEVCY0tVWm15bnc9PSIsInZhbHVlIjoiazJoWERxVy9vdzR3SnZiSlloNXhuQT09IiwibWFjIjoiMWJiN2EwNzg0MzViOTI1ZmQ5MDUwNTM5ZmNmZThmMDU1NTI1ZDAxOTE0OTI3MTAyM2EyZGQzOTNhYTVhM2RmZiJ9</t>
        </is>
      </c>
    </row>
    <row r="5">
      <c r="A5" s="14" t="inlineStr">
        <is>
          <t>MS 2400-2</t>
        </is>
      </c>
      <c r="B5" s="14" t="inlineStr">
        <is>
          <t>MS 2400-2:2019 Halal supply chain management system - Part 2: Warehousing - General requirements (First revision)</t>
        </is>
      </c>
      <c r="C5" s="14" t="inlineStr">
        <is>
          <t>Pratonton rasmi JSM (MySOL), hanya jadual kandungan dan Prakata: klausa 4.1-4.5, 5-8 dan Lampiran A-D (Lampiran D: sertu), serta senarai pindaan (a)-(m). Teks klausa tidak kelihatan, jadi semua rujukan diberi tanda *.</t>
        </is>
      </c>
      <c r="D5" s="14" t="inlineStr">
        <is>
          <t>https://mysol.jsm.gov.my/getPdfFileForAdmin/eyJpdiI6Im5oVmJ2c050OVRIcUZKcjVkSms5bUE9PSIsInZhbHVlIjoiSlpIVWdsbDZWeDhrc0JxejZEMUtSdz09IiwibWFjIjoiYjlkOTlhZjgxNDY2MmI4MmQzYTE0YWJhZWNkODUwZTk2MGFiOWJmNTdiZmVjZDliMWYwMzY4ZDcxNGIyYzgyNyJ9</t>
        </is>
      </c>
    </row>
    <row r="6">
      <c r="A6" s="14" t="inlineStr">
        <is>
          <t>MS 2400-3</t>
        </is>
      </c>
      <c r="B6" s="14" t="inlineStr">
        <is>
          <t>MS 2400-3:2019 Halal supply chain management system - Part 3: Retailing - General requirements (First revision)</t>
        </is>
      </c>
      <c r="C6" s="14" t="inlineStr">
        <is>
          <t>Pratonton rasmi JSM (MySOL), hanya jadual kandungan dan Prakata: klausa 4.1-4.5, 5-8 dan Lampiran A-E (Lampiran D: proses runcit tipikal; Lampiran E: sertu), serta senarai pindaan (a)-(p). Pautan pratonton dalam taklimat memberi ralat 500, jadi pratonton dibuka melalui pautan katalog MySOL. Teks klausa tidak kelihatan, jadi semua rujukan diberi tanda *.</t>
        </is>
      </c>
      <c r="D6" s="14" t="inlineStr">
        <is>
          <t>https://mysol.jsm.gov.my/getPdfFileForAdmin/eyJpdiI6ImtVaXJYVVJxWWUvRW9sR21MTXpCWVE9PSIsInZhbHVlIjoiNnNuREtpQzJ0WkdpRWRhSkZRaE1vdz09IiwibWFjIjoiMjBmYzJiM2U2ZjRhMjYzOTc0MTA0NzUxZTYxZjE3M2Y3MzM0NjAxOGI1ZDJhMmYzYTY3ODNjOWQ4NWE4MzhiZiJ9</t>
        </is>
      </c>
    </row>
    <row r="7">
      <c r="A7" s="14" t="inlineStr">
        <is>
          <t>PKM</t>
        </is>
      </c>
      <c r="B7" s="14" t="inlineStr">
        <is>
          <t>Peraturan-Peraturan Kebersihan Makanan 2009 (P.U.(A) 95/2009), di bawah Akta Makanan 1983</t>
        </is>
      </c>
      <c r="C7" s="14" t="inlineStr">
        <is>
          <t>Teks penuh dibaca (FAOLEX) bagi per. 38(3), 38(4), 41(1), 46, 47(1) dan 56(1)-(5). Hanya peruntukan pengangkutan dan suhu dipetik, dan peruntukan itu hanya terpakai bagi logistik makanan.</t>
        </is>
      </c>
      <c r="D7" s="14" t="inlineStr">
        <is>
          <t>https://faolex.fao.org/docs/pdf/mal91581.pdf</t>
        </is>
      </c>
    </row>
    <row r="8">
      <c r="A8" s="14" t="inlineStr">
        <is>
          <t>APD 2011</t>
        </is>
      </c>
      <c r="B8" s="14" t="inlineStr">
        <is>
          <t>Akta Perihal Dagangan 2011 (Akta 730)</t>
        </is>
      </c>
      <c r="C8" s="14" t="inlineStr">
        <is>
          <t>Sumber kedua: artikel jurnal Universiti Malaya dan Pekeliling Pensijilan Halal Malaysia Bil. 1/2011 yang memetik s. 28 dan s. 29.</t>
        </is>
      </c>
      <c r="D8" s="14" t="inlineStr">
        <is>
          <t>https://jier.um.edu.my/index.php/JS/article/download/6922/4584</t>
        </is>
      </c>
    </row>
    <row r="9">
      <c r="A9" s="14" t="inlineStr">
        <is>
          <t>Perintah Takrif Halal 2011</t>
        </is>
      </c>
      <c r="B9" s="14" t="inlineStr">
        <is>
          <t>Perintah Perihal Dagangan (Takrif Halal) 2011 (P.U.(A) 430/2011)</t>
        </is>
      </c>
      <c r="C9" s="14" t="inlineStr">
        <is>
          <t>Sumber kedua (artikel jurnal UM dan Pekeliling Pensijilan Halal Malaysia Bil. 1/2011) bagi perenggan 3(1)(g) (tidak bersentuhan, bercampur atau berdekatan dengan makanan tidak halal semasa penyediaan, pemprosesan atau penyimpanan), 3(2) (perkhidmatan dijalankan mengikut Hukum Syarak) dan 4 (representasi mengelirukan, termasuk ayat al-Quran dan objek berkaitan Islam).</t>
        </is>
      </c>
      <c r="D9" s="14" t="inlineStr">
        <is>
          <t>https://jier.um.edu.my/index.php/JS/article/download/6922/4584</t>
        </is>
      </c>
    </row>
    <row r="10">
      <c r="A10" s="14" t="inlineStr">
        <is>
          <t>Perintah Perakuan &amp; Penandaan Halal 2011</t>
        </is>
      </c>
      <c r="B10" s="14" t="inlineStr">
        <is>
          <t>Perintah Perihal Dagangan (Perakuan dan Penandaan Halal) 2011 (P.U.(A) 431/2011)</t>
        </is>
      </c>
      <c r="C10" s="14" t="inlineStr">
        <is>
          <t>Teks warta dibaca bagi perenggan 2 (takrif perkhidmatan berhubung makanan atau barang: pengangkutan, penyimpanan dan pemprosesan bahan mentah, penyajian dan peruncitan), 3 (pihak berkuasa berwibawa: JAKIM dan MAIN), 4(1), 4(2), 5 (sijil halal luar negara) dan 6 (cara penandaan).</t>
        </is>
      </c>
      <c r="D10" s="14" t="inlineStr">
        <is>
          <t>https://login.totalweblite.com/Clients/halalfood/431wartaperakuanhalal.pdf</t>
        </is>
      </c>
    </row>
    <row r="11">
      <c r="A11" s="14" t="inlineStr">
        <is>
          <t>Akta Kastam 1967</t>
        </is>
      </c>
      <c r="B11" s="14" t="inlineStr">
        <is>
          <t>Akta Kastam 1967 (Akta 235)</t>
        </is>
      </c>
      <c r="C11" s="14" t="inlineStr">
        <is>
          <t>Tajuk s. 65 (gudang berlesen) dan s. 90 (kawalan ejen) disemak dalam teks cetakan semula (vertic.org). Lesen gudang di bawah s. 65, serta lesen ejen penghantaran barang, ejen kastam dan ejen perkapalan di bawah s. 90, disahkan melalui buku panduan rasmi MIDA (Logistics Services).</t>
        </is>
      </c>
      <c r="D11" s="14" t="inlineStr">
        <is>
          <t>https://www.mida.gov.my/wp-content/uploads/2020/07/20191220163458_BOOKLET-4-LOGISTICS-SERVICES.pdf</t>
        </is>
      </c>
    </row>
    <row r="12">
      <c r="A12" s="14" t="inlineStr">
        <is>
          <t>Akta Pengangkutan Awam Darat 2010</t>
        </is>
      </c>
      <c r="B12" s="14" t="inlineStr">
        <is>
          <t>Akta Pengangkutan Awam Darat 2010 (Akta 715)</t>
        </is>
      </c>
      <c r="C12" s="14" t="inlineStr">
        <is>
          <t>Teks rasmi MOT dibaca bagi s. 1(2) (terpakai di Semenanjung Malaysia sahaja), Bahagian III Bab 3 (pelesenan pengendali perkhidmatan kenderaan barangan) dan s. 51 (kehendak lesen pengendali).</t>
        </is>
      </c>
      <c r="D12" s="14" t="inlineStr">
        <is>
          <t>https://www.mot.gov.my/en/Documents/Akta%20715%20(MUKTAMAD).pdf</t>
        </is>
      </c>
    </row>
    <row r="13">
      <c r="A13" s="14" t="inlineStr">
        <is>
          <t>Akta Pengangkutan Jalan 1987</t>
        </is>
      </c>
      <c r="B13" s="14" t="inlineStr">
        <is>
          <t>Akta Pengangkutan Jalan 1987 (Akta 333)</t>
        </is>
      </c>
      <c r="C13" s="14" t="inlineStr">
        <is>
          <t>Sumber kedua (buku panduan MIDA) dan ingatan sahaja: pendaftaran kenderaan dengan JPJ. Nombor seksyen tidak disahkan, jadi tidak dipetik.</t>
        </is>
      </c>
      <c r="D13" s="14" t="inlineStr"/>
    </row>
    <row r="14">
      <c r="A14" s="14" t="inlineStr">
        <is>
          <t>Akta Lembaga Pelesenan Kenderaan Perdagangan 1987</t>
        </is>
      </c>
      <c r="B14" s="14" t="inlineStr">
        <is>
          <t>Akta Lembaga Pelesenan Kenderaan Perdagangan 1987 (Akta 334)</t>
        </is>
      </c>
      <c r="C14" s="14" t="inlineStr">
        <is>
          <t>Sumber kedua (buku panduan MIDA) dan ingatan sahaja: pelesenan kenderaan perdagangan oleh LPKP di Sabah dan Sarawak. Nombor seksyen tidak disahkan, jadi tidak dipetik.</t>
        </is>
      </c>
      <c r="D14" s="14" t="inlineStr"/>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2026-10-06T15:39:50Z</dcterms:created>
  <dcterms:modified xmlns:dcterms="http://purl.org/dc/terms/" xmlns:xsi="http://www.w3.org/2001/XMLSchema-instance" xsi:type="dcterms:W3CDTF">2026-10-06T15:39:50Z</dcterms:modified>
</cp:coreProperties>
</file>