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61"/>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Pengilangan Kontrak (OEM)</t>
        </is>
      </c>
    </row>
    <row r="2">
      <c r="A2" t="inlineStr">
        <is>
          <t>Premis/syarikat: ______________________________   Jenis produk kontrak: __________   Tarikh: ____________   Juruaudit: ______________________</t>
        </is>
      </c>
    </row>
    <row r="3" ht="28" customHeight="1">
      <c r="A3" s="2" t="inlineStr">
        <is>
          <t>Ya = patuh, Tidak = tidak patuh, TB = tidak berkaitan.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SPHM Skim OEM</t>
        </is>
      </c>
      <c r="B6" s="5" t="n"/>
      <c r="C6" s="5" t="n"/>
      <c r="D6" s="5" t="n"/>
      <c r="E6" s="6" t="n"/>
    </row>
    <row r="7" ht="26" customHeight="1">
      <c r="A7" s="2" t="inlineStr">
        <is>
          <t>Semak dokumen pendaftaran, lesen, SPHM skim OEM dan skop permohonan dalam MYeHALAL, kemudian sahkan dengan aktiviti sebenar kilang.</t>
        </is>
      </c>
    </row>
    <row r="8">
      <c r="A8" s="7" t="inlineStr">
        <is>
          <t>A1</t>
        </is>
      </c>
      <c r="B8" s="7" t="inlineStr">
        <is>
          <t>Pendaftaran perniagaan (SSM, koperasi atau dokumen penubuhan) masih sah, dan nama serta alamat syarikat dan kilang sama dengan permohonan SPHM.</t>
        </is>
      </c>
      <c r="C8" s="7" t="inlineStr">
        <is>
          <t>MPPHM 5(1)</t>
        </is>
      </c>
      <c r="D8" s="7" t="inlineStr"/>
      <c r="E8" s="7" t="inlineStr"/>
      <c r="F8" t="inlineStr">
        <is>
          <t>A</t>
        </is>
      </c>
    </row>
    <row r="9">
      <c r="A9" s="7" t="inlineStr">
        <is>
          <t>A2</t>
        </is>
      </c>
      <c r="B9" s="7" t="inlineStr">
        <is>
          <t>Lesen PBT bagi premis kilang, atau dokumen sokongan agensi kerajaan yang berkaitan, masih sah dan sepadan dengan alamat serta aktiviti pengilangan.</t>
        </is>
      </c>
      <c r="C9" s="7" t="inlineStr">
        <is>
          <t>MPPHM 5(2)</t>
        </is>
      </c>
      <c r="D9" s="7" t="inlineStr"/>
      <c r="E9" s="7" t="inlineStr"/>
      <c r="F9" t="inlineStr">
        <is>
          <t>A</t>
        </is>
      </c>
    </row>
    <row r="10">
      <c r="A10" s="7" t="inlineStr">
        <is>
          <t>A3</t>
        </is>
      </c>
      <c r="B10" s="7" t="inlineStr">
        <is>
          <t>Kilang telah memperoleh SPHM di bawah skim Pengilangan Kontrak/OEM sebelum menawarkan perkhidmatan pengilangan produk kepada syarikat lain, dan sijil itu masih sah. Bandingkan tarikh mula kontrak setiap pelanggan dengan tarikh sijil. Bagi pemohon baharu, semak sama ada perkhidmatan telah ditawarkan sebagai halal sebelum sijil diperoleh.</t>
        </is>
      </c>
      <c r="C10" s="7" t="inlineStr">
        <is>
          <t>MPPHM 17(17)(a), 18(8)</t>
        </is>
      </c>
      <c r="D10" s="7" t="inlineStr"/>
      <c r="E10" s="7" t="inlineStr"/>
      <c r="F10" t="inlineStr">
        <is>
          <t>A</t>
        </is>
      </c>
    </row>
    <row r="11">
      <c r="A11" s="7" t="inlineStr">
        <is>
          <t>A4</t>
        </is>
      </c>
      <c r="B11" s="7" t="inlineStr">
        <is>
          <t>Kilang telah beroperasi sepenuhnya sekurang-kurangnya 3 bulan sebelum memohon (pemohon baharu), atau sekurang-kurangnya 1 bulan di premis baharu (pindah premis).</t>
        </is>
      </c>
      <c r="C11" s="7" t="inlineStr">
        <is>
          <t>MPPHM 5(7), 5(8)</t>
        </is>
      </c>
      <c r="D11" s="7" t="inlineStr"/>
      <c r="E11" s="7" t="inlineStr"/>
      <c r="F11" t="inlineStr">
        <is>
          <t>A</t>
        </is>
      </c>
    </row>
    <row r="12">
      <c r="A12" s="7" t="inlineStr">
        <is>
          <t>A5</t>
        </is>
      </c>
      <c r="B12" s="7" t="inlineStr">
        <is>
          <t>Kilang mengeluarkan dan mengendalikan produk halal sahaja bagi semua pelanggan, termasuk produk dagangan, produk eksport dan sampel. Syarikat tidak mengeluarkan atau mengedarkan sebarang produk tidak halal.</t>
        </is>
      </c>
      <c r="C12" s="7" t="inlineStr">
        <is>
          <t>MPPHM 5(9), 6(2)</t>
        </is>
      </c>
      <c r="D12" s="7" t="inlineStr"/>
      <c r="E12" s="7" t="inlineStr"/>
      <c r="F12" t="inlineStr">
        <is>
          <t>A</t>
        </is>
      </c>
    </row>
    <row r="13">
      <c r="A13" s="7" t="inlineStr">
        <is>
          <t>A6</t>
        </is>
      </c>
      <c r="B13" s="7" t="inlineStr">
        <is>
          <t>Semua produk pelanggan yang masih dikilangkan telah diisytiharkan dalam permohonan skim OEM ini, dan tiada produk pelanggan dikilangkan tanpa diisytiharkan dalam MYeHALAL. Produk jenama sendiri (jika ada) tidak dimasukkan dalam permohonan OEM; semak bahawa produk itu dipohon secara berasingan di bawah skim produk yang berkaitan.</t>
        </is>
      </c>
      <c r="C13" s="7" t="inlineStr">
        <is>
          <t>MPPHM 3 (tafsiran skim pengilangan kontrak/OEM), 5(10), 17(2)(b); FAQ Halal Khidmat Islam Sarawak</t>
        </is>
      </c>
      <c r="D13" s="7" t="inlineStr"/>
      <c r="E13" s="7" t="inlineStr"/>
      <c r="F13" t="inlineStr">
        <is>
          <t>A</t>
        </is>
      </c>
    </row>
    <row r="14">
      <c r="A14" s="7" t="inlineStr">
        <is>
          <t>A7</t>
        </is>
      </c>
      <c r="B14" s="7" t="inlineStr">
        <is>
          <t>Produk pelanggan dalam senarai permohonan yang tidak dikilangkan sepanjang tempoh sah laku SPHM terdahulu dikenal pasti. Produk itu boleh digugurkan daripada senarai permohonan SPHM.</t>
        </is>
      </c>
      <c r="C14" s="7" t="inlineStr">
        <is>
          <t>MPPHM 17(2)(e)</t>
        </is>
      </c>
      <c r="D14" s="7" t="inlineStr"/>
      <c r="E14" s="7" t="inlineStr"/>
      <c r="F14" t="inlineStr">
        <is>
          <t>A</t>
        </is>
      </c>
    </row>
    <row r="15">
      <c r="A15" s="7" t="inlineStr">
        <is>
          <t>A8</t>
        </is>
      </c>
      <c r="B15" s="7" t="inlineStr">
        <is>
          <t>Produk pelanggan benar-benar diproses di kilang ini. Produk siap (tempatan atau import) yang hanya dilabel semula tanpa menjalani proses di Malaysia tidak dipohon.</t>
        </is>
      </c>
      <c r="C15" s="7" t="inlineStr">
        <is>
          <t>MPPHM 6(8)</t>
        </is>
      </c>
      <c r="D15" s="7" t="inlineStr"/>
      <c r="E15" s="7" t="inlineStr"/>
      <c r="F15" t="inlineStr">
        <is>
          <t>A</t>
        </is>
      </c>
    </row>
    <row r="16">
      <c r="A16" s="7" t="inlineStr">
        <is>
          <t>A9</t>
        </is>
      </c>
      <c r="B16" s="7" t="inlineStr">
        <is>
          <t>OEM makanan &amp; minuman: produk yang dikilangkan untuk pelanggan bukan produk semula jadi yang tidak diproses (cth. ikan segar, sayur-sayuran, telur), kerana produk sedemikian tidak layak dipohon SPHM.</t>
        </is>
      </c>
      <c r="C16" s="7" t="inlineStr">
        <is>
          <t>MPPHM 6(6)</t>
        </is>
      </c>
      <c r="D16" s="7" t="inlineStr"/>
      <c r="E16" s="7" t="inlineStr"/>
      <c r="F16" t="inlineStr">
        <is>
          <t>A</t>
        </is>
      </c>
    </row>
    <row r="17">
      <c r="A17" s="7" t="inlineStr">
        <is>
          <t>A10</t>
        </is>
      </c>
      <c r="B17" s="7" t="inlineStr">
        <is>
          <t>Jika kilang membungkus semula bahan atau produk untuk pelanggan, sijil halal yang diiktiraf dan masih sah bagi bahan atau produk itu dikemukakan.</t>
        </is>
      </c>
      <c r="C17" s="7" t="inlineStr">
        <is>
          <t>MPPHM 5(11)</t>
        </is>
      </c>
      <c r="D17" s="7" t="inlineStr"/>
      <c r="E17" s="7" t="inlineStr"/>
      <c r="F17" t="inlineStr">
        <is>
          <t>A</t>
        </is>
      </c>
    </row>
    <row r="18">
      <c r="A18" s="4" t="inlineStr">
        <is>
          <t>Bahagian B: Keperluan Mengikut Jenis Produk yang Dikilangkan</t>
        </is>
      </c>
      <c r="B18" s="5" t="n"/>
      <c r="C18" s="5" t="n"/>
      <c r="D18" s="5" t="n"/>
      <c r="E18" s="6" t="n"/>
    </row>
    <row r="19" ht="26" customHeight="1">
      <c r="A19" s="2" t="inlineStr">
        <is>
          <t>Kenal pasti jenis produk yang dikilangkan untuk pelanggan, kemudian semak lesen, pendaftaran produk, standard halal (MS) dan perundangan yang terpakai bagi setiap jenis.</t>
        </is>
      </c>
    </row>
    <row r="20">
      <c r="A20" s="7" t="inlineStr">
        <is>
          <t>B1</t>
        </is>
      </c>
      <c r="B20" s="7" t="inlineStr">
        <is>
          <t>Setiap jenis produk yang dikilangkan (makanan dan minuman, kosmetik, farmaseutikal, barang gunaan, peranti perubatan) dikenal pasti dalam permohonan dan dalam manual HAS/IHCS, bersama standard halal dan perundangan yang terpakai bagi setiap jenis.</t>
        </is>
      </c>
      <c r="C20" s="7" t="inlineStr">
        <is>
          <t>MPPHM 5(10), 17(2)(g), 17(16)(a), 17(16)(b); MHMS 5(1)</t>
        </is>
      </c>
      <c r="D20" s="7" t="inlineStr"/>
      <c r="E20" s="7" t="inlineStr"/>
      <c r="F20" t="inlineStr">
        <is>
          <t>B</t>
        </is>
      </c>
    </row>
    <row r="21">
      <c r="A21" s="7" t="inlineStr">
        <is>
          <t>B2</t>
        </is>
      </c>
      <c r="B21" s="7" t="inlineStr">
        <is>
          <t>Setiap produk yang dipohon mempunyai standard rujukan halal (MS) yang berkaitan. Produk tanpa standard rujukan tidak dipohon.</t>
        </is>
      </c>
      <c r="C21" s="7" t="inlineStr">
        <is>
          <t>MPPHM 6(4)</t>
        </is>
      </c>
      <c r="D21" s="7" t="inlineStr"/>
      <c r="E21" s="7" t="inlineStr"/>
      <c r="F21" t="inlineStr">
        <is>
          <t>B</t>
        </is>
      </c>
    </row>
    <row r="22">
      <c r="A22" s="7" t="inlineStr">
        <is>
          <t>B3</t>
        </is>
      </c>
      <c r="B22" s="7" t="inlineStr">
        <is>
          <t>OEM makanan &amp; minuman: standard halal yang terpakai ialah MS 1500:2019 Makanan halal – Keperluan umum (Semakan ketiga).</t>
        </is>
      </c>
      <c r="C22" s="7" t="inlineStr">
        <is>
          <t>MS mengikut jenis produk (MS 1500:2019); MPPHM 18(1)(e)</t>
        </is>
      </c>
      <c r="D22" s="7" t="inlineStr"/>
      <c r="E22" s="7" t="inlineStr"/>
      <c r="F22" t="inlineStr">
        <is>
          <t>B</t>
        </is>
      </c>
    </row>
    <row r="23">
      <c r="A23" s="7" t="inlineStr">
        <is>
          <t>B4</t>
        </is>
      </c>
      <c r="B23" s="7" t="inlineStr">
        <is>
          <t>OEM makanan &amp; minuman: Perakuan Pendaftaran Premis Makanan daripada KKM bagi premis kilang masih sah.</t>
        </is>
      </c>
      <c r="C23" s="7" t="inlineStr">
        <is>
          <t>MPPHM 5(3), 18(1)(a)</t>
        </is>
      </c>
      <c r="D23" s="7" t="inlineStr"/>
      <c r="E23" s="7" t="inlineStr"/>
      <c r="F23" t="inlineStr">
        <is>
          <t>B</t>
        </is>
      </c>
    </row>
    <row r="24">
      <c r="A24" s="7" t="inlineStr">
        <is>
          <t>B5</t>
        </is>
      </c>
      <c r="B24" s="7" t="inlineStr">
        <is>
          <t>OEM makanan &amp; minuman (jika produk berasaskan haiwan): kilang memegang Skim Pensijilan Veterinar (VHM) atau surat sokongan JPV.</t>
        </is>
      </c>
      <c r="C24" s="7" t="inlineStr">
        <is>
          <t>MPPHM 5(4), 17(8)(i)</t>
        </is>
      </c>
      <c r="D24" s="7" t="inlineStr"/>
      <c r="E24" s="7" t="inlineStr"/>
      <c r="F24" t="inlineStr">
        <is>
          <t>B</t>
        </is>
      </c>
    </row>
    <row r="25">
      <c r="A25" s="7" t="inlineStr">
        <is>
          <t>B6</t>
        </is>
      </c>
      <c r="B25" s="7" t="inlineStr">
        <is>
          <t>OEM makanan &amp; minuman: semua pengendali makanan memiliki Sijil Latihan Pengendali Makanan daripada institusi yang diiktiraf KKM.</t>
        </is>
      </c>
      <c r="C25" s="7" t="inlineStr">
        <is>
          <t>MPPHM 18(1)(b); PKM per. 30</t>
        </is>
      </c>
      <c r="D25" s="7" t="inlineStr"/>
      <c r="E25" s="7" t="inlineStr"/>
      <c r="F25" t="inlineStr">
        <is>
          <t>B</t>
        </is>
      </c>
    </row>
    <row r="26">
      <c r="A26" s="7" t="inlineStr">
        <is>
          <t>B7</t>
        </is>
      </c>
      <c r="B26" s="7" t="inlineStr">
        <is>
          <t>OEM makanan &amp; minuman: semua pengendali makanan telah menjalani pemeriksaan perubatan dan mempunyai suntikan anti-tifoid yang masih sah.</t>
        </is>
      </c>
      <c r="C26" s="7" t="inlineStr">
        <is>
          <t>MPPHM 18(1)(c); PKM per. 31</t>
        </is>
      </c>
      <c r="D26" s="7" t="inlineStr"/>
      <c r="E26" s="7" t="inlineStr"/>
      <c r="F26" t="inlineStr">
        <is>
          <t>B</t>
        </is>
      </c>
    </row>
    <row r="27">
      <c r="A27" s="7" t="inlineStr">
        <is>
          <t>B8</t>
        </is>
      </c>
      <c r="B27" s="7" t="inlineStr">
        <is>
          <t>OEM makanan &amp; minuman: produk pelanggan yang berada di sempadan makanan-dadah (food-drug interface) mempunyai surat keputusan klasifikasi daripada NPRA.</t>
        </is>
      </c>
      <c r="C27" s="7" t="inlineStr">
        <is>
          <t>MPPHM 18(1)(d)</t>
        </is>
      </c>
      <c r="D27" s="7" t="inlineStr"/>
      <c r="E27" s="7" t="inlineStr"/>
      <c r="F27" t="inlineStr">
        <is>
          <t>B</t>
        </is>
      </c>
    </row>
    <row r="28">
      <c r="A28" s="7" t="inlineStr">
        <is>
          <t>B9</t>
        </is>
      </c>
      <c r="B28" s="7" t="inlineStr">
        <is>
          <t>OEM makanan &amp; minuman: operasi kilang dan produk pelanggan mematuhi Akta Makanan 1983, Peraturan-Peraturan Makanan 1985 dan Peraturan-Peraturan Kebersihan Makanan 2009.</t>
        </is>
      </c>
      <c r="C28" s="7" t="inlineStr">
        <is>
          <t>MPPHM 18(1)(e)</t>
        </is>
      </c>
      <c r="D28" s="7" t="inlineStr"/>
      <c r="E28" s="7" t="inlineStr"/>
      <c r="F28" t="inlineStr">
        <is>
          <t>B</t>
        </is>
      </c>
    </row>
    <row r="29">
      <c r="A29" s="7" t="inlineStr">
        <is>
          <t>B10</t>
        </is>
      </c>
      <c r="B29" s="7" t="inlineStr">
        <is>
          <t>OEM makanan &amp; minuman (jika premis tersenarai dalam Jadual Ketiga PKM): program jaminan keselamatan makanan didokumenkan dan dilaksanakan.</t>
        </is>
      </c>
      <c r="C29" s="7" t="inlineStr">
        <is>
          <t>PKM per. 9, Jadual Ketiga</t>
        </is>
      </c>
      <c r="D29" s="7" t="inlineStr"/>
      <c r="E29" s="7" t="inlineStr"/>
      <c r="F29" t="inlineStr">
        <is>
          <t>B</t>
        </is>
      </c>
    </row>
    <row r="30">
      <c r="A30" s="7" t="inlineStr">
        <is>
          <t>B11</t>
        </is>
      </c>
      <c r="B30" s="7" t="inlineStr">
        <is>
          <t>OEM kosmetik: standard halal yang terpakai ialah MS 2634:2019 Kosmetik halal – Keperluan umum (Semakan pertama).</t>
        </is>
      </c>
      <c r="C30" s="7" t="inlineStr">
        <is>
          <t>MS mengikut jenis produk (MS 2634:2019); MPPHM 18(2)(c)</t>
        </is>
      </c>
      <c r="D30" s="7" t="inlineStr"/>
      <c r="E30" s="7" t="inlineStr"/>
      <c r="F30" t="inlineStr">
        <is>
          <t>B</t>
        </is>
      </c>
    </row>
    <row r="31">
      <c r="A31" s="7" t="inlineStr">
        <is>
          <t>B12</t>
        </is>
      </c>
      <c r="B31" s="7" t="inlineStr">
        <is>
          <t>OEM kosmetik: setiap produk kosmetik pelanggan telah dinotifikasikan kepada NPRA atau mempunyai surat kebenaran NPRA untuk mengilang produk kosmetik tidak bernotifikasi bagi tujuan eksport. Butiran pengilang dalam notifikasi sepadan dengan kilang ini, dan butiran notifikasi (Notification Detail) setiap produk dikemukakan dalam permohonan.</t>
        </is>
      </c>
      <c r="C31" s="7" t="inlineStr">
        <is>
          <t>MPPHM 18(2)(a), 18(2)(d)</t>
        </is>
      </c>
      <c r="D31" s="7" t="inlineStr"/>
      <c r="E31" s="7" t="inlineStr"/>
      <c r="F31" t="inlineStr">
        <is>
          <t>B</t>
        </is>
      </c>
    </row>
    <row r="32">
      <c r="A32" s="7" t="inlineStr">
        <is>
          <t>B13</t>
        </is>
      </c>
      <c r="B32" s="7" t="inlineStr">
        <is>
          <t>OEM kosmetik: premis kilang mematuhi Garis Panduan Amalan Pengilangan Baik Kosmetik (Annex I Part 10, Guidelines for Control of Cosmetic Products in Malaysia).</t>
        </is>
      </c>
      <c r="C32" s="7" t="inlineStr">
        <is>
          <t>MPPHM 18(2)(b)</t>
        </is>
      </c>
      <c r="D32" s="7" t="inlineStr"/>
      <c r="E32" s="7" t="inlineStr"/>
      <c r="F32" t="inlineStr">
        <is>
          <t>B</t>
        </is>
      </c>
    </row>
    <row r="33">
      <c r="A33" s="7" t="inlineStr">
        <is>
          <t>B14</t>
        </is>
      </c>
      <c r="B33" s="7" t="inlineStr">
        <is>
          <t>OEM kosmetik: operasi dan produk mematuhi Peraturan-Peraturan Kawalan Dadah dan Kosmetik 1984 dan Guidelines for Control of Cosmetic Products in Malaysia.</t>
        </is>
      </c>
      <c r="C33" s="7" t="inlineStr">
        <is>
          <t>MPPHM 18(2)(c)</t>
        </is>
      </c>
      <c r="D33" s="7" t="inlineStr"/>
      <c r="E33" s="7" t="inlineStr"/>
      <c r="F33" t="inlineStr">
        <is>
          <t>B</t>
        </is>
      </c>
    </row>
    <row r="34">
      <c r="A34" s="7" t="inlineStr">
        <is>
          <t>B15</t>
        </is>
      </c>
      <c r="B34" s="7" t="inlineStr">
        <is>
          <t>OEM farmaseutikal: standard halal yang terpakai ialah MS 2424:2019 Farmaseutikal halal – Keperluan umum (Semakan pertama).</t>
        </is>
      </c>
      <c r="C34" s="7" t="inlineStr">
        <is>
          <t>MS mengikut jenis produk (MS 2424:2019); MPPHM 18(3)(d)</t>
        </is>
      </c>
      <c r="D34" s="7" t="inlineStr"/>
      <c r="E34" s="7" t="inlineStr"/>
      <c r="F34" t="inlineStr">
        <is>
          <t>B</t>
        </is>
      </c>
    </row>
    <row r="35">
      <c r="A35" s="7" t="inlineStr">
        <is>
          <t>B16</t>
        </is>
      </c>
      <c r="B35" s="7" t="inlineStr">
        <is>
          <t>OEM farmaseutikal: kilang memegang lesen pengilang NPRA yang masih sah dan mematuhi GMP.</t>
        </is>
      </c>
      <c r="C35" s="7" t="inlineStr">
        <is>
          <t>MPPHM 5(5), 18(3)(b)</t>
        </is>
      </c>
      <c r="D35" s="7" t="inlineStr"/>
      <c r="E35" s="7" t="inlineStr"/>
      <c r="F35" t="inlineStr">
        <is>
          <t>B</t>
        </is>
      </c>
    </row>
    <row r="36">
      <c r="A36" s="7" t="inlineStr">
        <is>
          <t>B17</t>
        </is>
      </c>
      <c r="B36" s="7" t="inlineStr">
        <is>
          <t>OEM farmaseutikal: setiap produk pelanggan berdaftar dengan Pihak Berkuasa Kawalan Dadah (PBKD) dan tergolong dalam kategori yang layak, iaitu racun berjadual, produk tanpa preskripsi bukan berjadual, suplemen kesihatan, atau produk semula jadi (tradisional/komplementari).</t>
        </is>
      </c>
      <c r="C36" s="7" t="inlineStr">
        <is>
          <t>MPPHM 18(3)(a), 18(3)(c)</t>
        </is>
      </c>
      <c r="D36" s="7" t="inlineStr"/>
      <c r="E36" s="7" t="inlineStr"/>
      <c r="F36" t="inlineStr">
        <is>
          <t>B</t>
        </is>
      </c>
    </row>
    <row r="37">
      <c r="A37" s="7" t="inlineStr">
        <is>
          <t>B18</t>
        </is>
      </c>
      <c r="B37" s="7" t="inlineStr">
        <is>
          <t>OEM farmaseutikal: operasi dan produk mematuhi Akta Jualan Dadah 1952, Peraturan-Peraturan Kawalan Dadah dan Kosmetik 1984 dan Drug Registration Guidance Document (DRGD).</t>
        </is>
      </c>
      <c r="C37" s="7" t="inlineStr">
        <is>
          <t>MPPHM 18(3)(d)</t>
        </is>
      </c>
      <c r="D37" s="7" t="inlineStr"/>
      <c r="E37" s="7" t="inlineStr"/>
      <c r="F37" t="inlineStr">
        <is>
          <t>B</t>
        </is>
      </c>
    </row>
    <row r="38">
      <c r="A38" s="7" t="inlineStr">
        <is>
          <t>B19</t>
        </is>
      </c>
      <c r="B38" s="7" t="inlineStr">
        <is>
          <t>OEM peranti perubatan: standard halal yang terpakai ialah MS 2636:2019 Peranti perubatan halal – Keperluan umum.</t>
        </is>
      </c>
      <c r="C38" s="7" t="inlineStr">
        <is>
          <t>MS mengikut jenis produk (MS 2636:2019); MPPHM 18(9)</t>
        </is>
      </c>
      <c r="D38" s="7" t="inlineStr"/>
      <c r="E38" s="7" t="inlineStr"/>
      <c r="F38" t="inlineStr">
        <is>
          <t>B</t>
        </is>
      </c>
    </row>
    <row r="39">
      <c r="A39" s="7" t="inlineStr">
        <is>
          <t>B20</t>
        </is>
      </c>
      <c r="B39" s="7" t="inlineStr">
        <is>
          <t>OEM peranti perubatan: setiap peranti pelanggan berdaftar dengan Pihak Berkuasa Peranti Perubatan (MDA), dan kilang memegang lesen establismen MDA yang masih sah.</t>
        </is>
      </c>
      <c r="C39" s="7" t="inlineStr">
        <is>
          <t>MPPHM 5(6), 18(9)</t>
        </is>
      </c>
      <c r="D39" s="7" t="inlineStr"/>
      <c r="E39" s="7" t="inlineStr"/>
      <c r="F39" t="inlineStr">
        <is>
          <t>B</t>
        </is>
      </c>
    </row>
    <row r="40">
      <c r="A40" s="7" t="inlineStr">
        <is>
          <t>B21</t>
        </is>
      </c>
      <c r="B40" s="7" t="inlineStr">
        <is>
          <t>OEM peranti perubatan: operasi dan produk mematuhi Akta Peranti Perubatan 2012 (Akta 737) dan peraturan di bawahnya.</t>
        </is>
      </c>
      <c r="C40" s="7" t="inlineStr">
        <is>
          <t>MPPHM 18(9)</t>
        </is>
      </c>
      <c r="D40" s="7" t="inlineStr"/>
      <c r="E40" s="7" t="inlineStr"/>
      <c r="F40" t="inlineStr">
        <is>
          <t>B</t>
        </is>
      </c>
    </row>
    <row r="41">
      <c r="A41" s="7" t="inlineStr">
        <is>
          <t>B22</t>
        </is>
      </c>
      <c r="B41" s="7" t="inlineStr">
        <is>
          <t>OEM barang gunaan: produk memenuhi kriteria barang gunaan yang layak disijilkan. Produk itu mempunyai sumber yang status halalnya meragukan (cth. barang kulit, agen pencuci, penapis air) atau digunakan sebagai bahan bantu pemprosesan (cth. tanah peluntur, tawas, gas), tidak mengelirukan, dan diluluskan pihak berkuasa.</t>
        </is>
      </c>
      <c r="C41" s="7" t="inlineStr">
        <is>
          <t>MPPHM 18(5)(a)</t>
        </is>
      </c>
      <c r="D41" s="7" t="inlineStr"/>
      <c r="E41" s="7" t="inlineStr"/>
      <c r="F41" t="inlineStr">
        <is>
          <t>B</t>
        </is>
      </c>
    </row>
    <row r="42">
      <c r="A42" s="7" t="inlineStr">
        <is>
          <t>B23</t>
        </is>
      </c>
      <c r="B42" s="7" t="inlineStr">
        <is>
          <t>OEM barang gunaan: standard halal yang terpakai ialah MS 2738:2023 Barang gunaan halal – Keperluan umum. MS yang dinamakan dalam MPPHM 18(5)(b) juga terpakai mengikut jenis barang (cth. MS 2200-2:2013 bagi barang daripada tulang, kulit dan bulu haiwan), atau edisi yang menggantikannya.</t>
        </is>
      </c>
      <c r="C42" s="7" t="inlineStr">
        <is>
          <t>MS mengikut jenis produk (MS 2738:2023); MPPHM 18(5)(b)</t>
        </is>
      </c>
      <c r="D42" s="7" t="inlineStr"/>
      <c r="E42" s="7" t="inlineStr"/>
      <c r="F42" t="inlineStr">
        <is>
          <t>B</t>
        </is>
      </c>
    </row>
    <row r="43">
      <c r="A43" s="7" t="inlineStr">
        <is>
          <t>B24</t>
        </is>
      </c>
      <c r="B43" s="7" t="inlineStr">
        <is>
          <t>OEM barang gunaan: produk bukan daripada kategori yang pensijilan halalnya boleh menimbulkan kekeliruan (cth. baja, kertas, simen, jubin, racun serangga, permaidani).</t>
        </is>
      </c>
      <c r="C43" s="7" t="inlineStr">
        <is>
          <t>MPPHM 6(13)</t>
        </is>
      </c>
      <c r="D43" s="7" t="inlineStr"/>
      <c r="E43" s="7" t="inlineStr"/>
      <c r="F43" t="inlineStr">
        <is>
          <t>B</t>
        </is>
      </c>
    </row>
    <row r="44">
      <c r="A44" s="4" t="inlineStr">
        <is>
          <t>Bahagian C: Pelanggan (Pemilik Jenama), Kontrak &amp; Status SPHM Produk</t>
        </is>
      </c>
      <c r="B44" s="5" t="n"/>
      <c r="C44" s="5" t="n"/>
      <c r="D44" s="5" t="n"/>
      <c r="E44" s="6" t="n"/>
    </row>
    <row r="45" ht="26" customHeight="1">
      <c r="A45" s="2" t="inlineStr">
        <is>
          <t>Semak senarai pelanggan, rekod saringan, kontrak dan fail setiap pelanggan, kemudian padankan dengan produk yang sedang dikilangkan dan status SPHM produk tersebut.</t>
        </is>
      </c>
    </row>
    <row r="46">
      <c r="A46" s="7" t="inlineStr">
        <is>
          <t>C1</t>
        </is>
      </c>
      <c r="B46" s="7" t="inlineStr">
        <is>
          <t>Senarai pelanggan, senarai bahan mentah dan senarai produk yang dikilangkan bagi setiap pelanggan disediakan dan dikemas kini.</t>
        </is>
      </c>
      <c r="C46" s="7" t="inlineStr">
        <is>
          <t>MHMS 7(5)(a)(iii), 7(5)(b)(iii)</t>
        </is>
      </c>
      <c r="D46" s="7" t="inlineStr"/>
      <c r="E46" s="7" t="inlineStr"/>
      <c r="F46" t="inlineStr">
        <is>
          <t>C</t>
        </is>
      </c>
    </row>
    <row r="47">
      <c r="A47" s="7" t="inlineStr">
        <is>
          <t>C2</t>
        </is>
      </c>
      <c r="B47" s="7" t="inlineStr">
        <is>
          <t>Setiap permintaan pelanggan baharu disaring sebelum kontrak dimeterai: jenis produk, formulasi, bahan, nama produk, jenama dan tuntutan label. Permintaan yang tidak halal atau tidak layak SPHM ditolak, dan rekod saringan disimpan.</t>
        </is>
      </c>
      <c r="C47" s="7" t="inlineStr">
        <is>
          <t>MHMS 7(5)(a)(ii); MPPHM 6</t>
        </is>
      </c>
      <c r="D47" s="7" t="inlineStr"/>
      <c r="E47" s="7" t="inlineStr"/>
      <c r="F47" t="inlineStr">
        <is>
          <t>C</t>
        </is>
      </c>
    </row>
    <row r="48">
      <c r="A48" s="7" t="inlineStr">
        <is>
          <t>C3</t>
        </is>
      </c>
      <c r="B48" s="7" t="inlineStr">
        <is>
          <t>Produk yang diminta pelanggan bukan produk yang tidak layak SPHM, iaitu produk tidak halal, produk yang memberi implikasi negatif terhadap agama dan sosial (cth. dadah, shisha, rokok, pewarna rambut, pewarna kuku), atau produk yang boleh membawa kepada penyelewengan akidah, perkara khurafat dan penipuan.</t>
        </is>
      </c>
      <c r="C48" s="7" t="inlineStr">
        <is>
          <t>MPPHM 6(1), 6(5), 6(11)</t>
        </is>
      </c>
      <c r="D48" s="7" t="inlineStr"/>
      <c r="E48" s="7" t="inlineStr"/>
      <c r="F48" t="inlineStr">
        <is>
          <t>C</t>
        </is>
      </c>
    </row>
    <row r="49">
      <c r="A49" s="7" t="inlineStr">
        <is>
          <t>C4</t>
        </is>
      </c>
      <c r="B49" s="7" t="inlineStr">
        <is>
          <t>Jenama pelanggan yang dikilangkan di sini tidak digunakan bagi produk atau perkhidmatan tidak halal di Malaysia, termasuk varian yang dikilangkan atau diimport dari tempat lain.</t>
        </is>
      </c>
      <c r="C49" s="7" t="inlineStr">
        <is>
          <t>MPPHM 6(3)</t>
        </is>
      </c>
      <c r="D49" s="7" t="inlineStr"/>
      <c r="E49" s="7" t="inlineStr"/>
      <c r="F49" t="inlineStr">
        <is>
          <t>C</t>
        </is>
      </c>
    </row>
    <row r="50">
      <c r="A50" s="7" t="inlineStr">
        <is>
          <t>C5</t>
        </is>
      </c>
      <c r="B50" s="7" t="inlineStr">
        <is>
          <t>Nama syarikat, jenama pelanggan, nama produk dan nama bahan tidak menggunakan perkataan 'halal'. Nama produk juga tidak merujuk kepada istilah tidak halal atau mengelirukan seperti dalam Lampiran A (cth. ham, bacon, beer, rum, hot dog, char siew).</t>
        </is>
      </c>
      <c r="C50" s="7" t="inlineStr">
        <is>
          <t>MPPHM 5(12), 6(7), Lampiran A</t>
        </is>
      </c>
      <c r="D50" s="7" t="inlineStr"/>
      <c r="E50" s="7" t="inlineStr"/>
      <c r="F50" t="inlineStr">
        <is>
          <t>C</t>
        </is>
      </c>
    </row>
    <row r="51">
      <c r="A51" s="7" t="inlineStr">
        <is>
          <t>C6</t>
        </is>
      </c>
      <c r="B51" s="7" t="inlineStr">
        <is>
          <t>Kontrak atau perjanjian pengilangan bertulis (persetujuan bersama) wujud dan masih berkuat kuasa bagi setiap pelanggan yang produknya sedang dikilangkan.</t>
        </is>
      </c>
      <c r="C51" s="7" t="inlineStr">
        <is>
          <t>MPPHM 3 (tafsiran skim pengilangan kontrak/OEM)</t>
        </is>
      </c>
      <c r="D51" s="7" t="inlineStr"/>
      <c r="E51" s="7" t="inlineStr"/>
      <c r="F51" t="inlineStr">
        <is>
          <t>C</t>
        </is>
      </c>
    </row>
    <row r="52">
      <c r="A52" s="7" t="inlineStr">
        <is>
          <t>C7</t>
        </is>
      </c>
      <c r="B52" s="7" t="inlineStr">
        <is>
          <t>Kontrak menetapkan tanggungjawab halal setiap pihak: siapa membeli atau membekalkan setiap bahan mentah dan bahan pembungkusan, siapa meluluskan formulasi dan reka bentuk label, dan bagaimana perubahan dimaklumkan.</t>
        </is>
      </c>
      <c r="C52" s="7" t="inlineStr">
        <is>
          <t>MHMS 7(5)(a)(ii)</t>
        </is>
      </c>
      <c r="D52" s="7" t="inlineStr"/>
      <c r="E52" s="7" t="inlineStr"/>
      <c r="F52" t="inlineStr">
        <is>
          <t>C</t>
        </is>
      </c>
    </row>
    <row r="53">
      <c r="A53" s="7" t="inlineStr">
        <is>
          <t>C8</t>
        </is>
      </c>
      <c r="B53" s="7" t="inlineStr">
        <is>
          <t>Kontrak mewajibkan pelanggan membekalkan atau menetapkan bahan halal sahaja, dan memberi kilang hak untuk menolak bahan, formulasi atau arahan yang status halalnya tidak dapat disahkan.</t>
        </is>
      </c>
      <c r="C53" s="7" t="inlineStr">
        <is>
          <t>MHMS 7(5)(a)(ii); MPPHM 5(9)</t>
        </is>
      </c>
      <c r="D53" s="7" t="inlineStr"/>
      <c r="E53" s="7" t="inlineStr"/>
      <c r="F53" t="inlineStr">
        <is>
          <t>C</t>
        </is>
      </c>
    </row>
    <row r="54">
      <c r="A54" s="7" t="inlineStr">
        <is>
          <t>C9</t>
        </is>
      </c>
      <c r="B54" s="7" t="inlineStr">
        <is>
          <t>Klausa kerahsiaan (NDA) dalam kontrak tidak menghalang pendedahan formulasi penuh, sumber bahan, sijil halal dan carta alir kepada JAKIM/JAIN semasa permohonan, audit dan pemantauan.</t>
        </is>
      </c>
      <c r="C54" s="7" t="inlineStr">
        <is>
          <t>MPPHM 17(1)(d), 17(1)(g), 17(14)(b)</t>
        </is>
      </c>
      <c r="D54" s="7" t="inlineStr"/>
      <c r="E54" s="7" t="inlineStr"/>
      <c r="F54" t="inlineStr">
        <is>
          <t>C</t>
        </is>
      </c>
    </row>
    <row r="55">
      <c r="A55" s="7" t="inlineStr">
        <is>
          <t>C10</t>
        </is>
      </c>
      <c r="B55" s="7" t="inlineStr">
        <is>
          <t>Bagi setiap produk pelanggan yang dilabel atau dipasarkan sebagai halal, SPHM yang meliputinya dapat dikenal pasti (pemegang sijil, nombor rujukan fail, tarikh tamat) dan masih sah. Butiran ini direkodkan dalam fail pelanggan.</t>
        </is>
      </c>
      <c r="C55" s="7" t="inlineStr">
        <is>
          <t>MPPHM 17(6)(j); Perintah Perakuan dan Penandaan Halal 2011 perenggan 4(1)</t>
        </is>
      </c>
      <c r="D55" s="7" t="inlineStr"/>
      <c r="E55" s="7" t="inlineStr"/>
      <c r="F55" t="inlineStr">
        <is>
          <t>C</t>
        </is>
      </c>
    </row>
    <row r="56">
      <c r="A56" s="7" t="inlineStr">
        <is>
          <t>C11</t>
        </is>
      </c>
      <c r="B56" s="7" t="inlineStr">
        <is>
          <t>Pelanggan yang memohon SPHM atas nama sendiri telah menerima salinan terkini SPHM skim OEM kilang dan dokumen sokongan yang diperlukan. Permohonan mereka dalam MYeHALAL menamakan kilang ini sebagai pengilang.</t>
        </is>
      </c>
      <c r="C56" s="7" t="inlineStr">
        <is>
          <t>MPPHM 17(17)(b), 18(8); FAQ Halal Khidmat Islam Sarawak</t>
        </is>
      </c>
      <c r="D56" s="7" t="inlineStr"/>
      <c r="E56" s="7" t="inlineStr"/>
      <c r="F56" t="inlineStr">
        <is>
          <t>C</t>
        </is>
      </c>
    </row>
    <row r="57">
      <c r="A57" s="7" t="inlineStr">
        <is>
          <t>C12</t>
        </is>
      </c>
      <c r="B57" s="7" t="inlineStr">
        <is>
          <t>Pelanggan dimaklumkan dengan segera secara bertulis jika SPHM skim OEM kilang tamat tempoh, digantung atau dibatalkan.</t>
        </is>
      </c>
      <c r="C57" s="7" t="inlineStr">
        <is>
          <t>MPPHM 17(17)(b), 18(8)</t>
        </is>
      </c>
      <c r="D57" s="7" t="inlineStr"/>
      <c r="E57" s="7" t="inlineStr"/>
      <c r="F57" t="inlineStr">
        <is>
          <t>C</t>
        </is>
      </c>
    </row>
    <row r="58">
      <c r="A58" s="7" t="inlineStr">
        <is>
          <t>C13</t>
        </is>
      </c>
      <c r="B58" s="7" t="inlineStr">
        <is>
          <t>Produk formula sedia ada (white label) yang dijual kepada beberapa pelanggan diisytiharkan bagi setiap jenama dan nama produk pelanggan.</t>
        </is>
      </c>
      <c r="C58" s="7" t="inlineStr">
        <is>
          <t>MPPHM 5(10), 17(2)(b), 17(2)(c)</t>
        </is>
      </c>
      <c r="D58" s="7" t="inlineStr"/>
      <c r="E58" s="7" t="inlineStr"/>
      <c r="F58" t="inlineStr">
        <is>
          <t>C</t>
        </is>
      </c>
    </row>
    <row r="59">
      <c r="A59" s="7" t="inlineStr">
        <is>
          <t>C14</t>
        </is>
      </c>
      <c r="B59" s="7" t="inlineStr">
        <is>
          <t>Pelanggan yang berdaftar di luar negara dikenal pasti, dan permohonan yang melibatkan mereka dibuat sebagai permohonan syarikat luar negara yang menjalankan pengilangan produk di dalam negara (fi pemprosesan khas dan fi Jadual 2).</t>
        </is>
      </c>
      <c r="C59" s="7" t="inlineStr">
        <is>
          <t>MPPHM 7(2), 8(2)</t>
        </is>
      </c>
      <c r="D59" s="7" t="inlineStr"/>
      <c r="E59" s="7" t="inlineStr"/>
      <c r="F59" t="inlineStr">
        <is>
          <t>C</t>
        </is>
      </c>
    </row>
    <row r="60">
      <c r="A60" s="7" t="inlineStr">
        <is>
          <t>C15</t>
        </is>
      </c>
      <c r="B60" s="7" t="inlineStr">
        <is>
          <t>Tiada peringkat pengilangan produk pelanggan (cth. pencampuran, pengisian, pembungkusan) disubkontrakkan kepada pihak lain kecuali pihak itu memegang SPHM skim OEM yang sah. Subkontrak dinyatakan dalam kontrak dan dimaklumkan kepada pelanggan.</t>
        </is>
      </c>
      <c r="C60" s="7" t="inlineStr">
        <is>
          <t>MPPHM 17(17)(b), 18(8)</t>
        </is>
      </c>
      <c r="D60" s="7" t="inlineStr"/>
      <c r="E60" s="7" t="inlineStr"/>
      <c r="F60" t="inlineStr">
        <is>
          <t>C</t>
        </is>
      </c>
    </row>
    <row r="61">
      <c r="A61" s="7" t="inlineStr">
        <is>
          <t>C16</t>
        </is>
      </c>
      <c r="B61" s="7" t="inlineStr">
        <is>
          <t>Audit oleh pelanggan (audit pembekal) ke atas kilang direkodkan, dan tindakan pembetulan diambil bagi setiap ketidakakuran halal yang dibangkitkan.</t>
        </is>
      </c>
      <c r="C61" s="7" t="inlineStr">
        <is>
          <t>MHMS 5(5); MPPHM 17(14)(b)</t>
        </is>
      </c>
      <c r="D61" s="7" t="inlineStr"/>
      <c r="E61" s="7" t="inlineStr"/>
      <c r="F61" t="inlineStr">
        <is>
          <t>C</t>
        </is>
      </c>
    </row>
    <row r="62">
      <c r="A62" s="4" t="inlineStr">
        <is>
          <t>Bahagian D: Pengurusan Halal &amp; MHMS (HAS/IHCS) mengikut Saiz Industri</t>
        </is>
      </c>
      <c r="B62" s="5" t="n"/>
      <c r="C62" s="5" t="n"/>
      <c r="D62" s="5" t="n"/>
      <c r="E62" s="6" t="n"/>
    </row>
    <row r="63" ht="26" customHeight="1">
      <c r="A63" s="2" t="inlineStr">
        <is>
          <t>Tentukan saiz industri, kemudian semak manual HAS atau IHCS, surat lantikan, minit JKHD, laporan audit dalaman dan semakan HAS. Sahkan melalui temu bual dengan pengurusan serta Eksekutif atau Penyelia Halal.</t>
        </is>
      </c>
    </row>
    <row r="64">
      <c r="A64" s="7" t="inlineStr">
        <is>
          <t>D1</t>
        </is>
      </c>
      <c r="B64" s="7" t="inlineStr">
        <is>
          <t>Saiz industri ditentukan berdasarkan nilai perolehan tahunan: besar (melebihi RM50 juta), sederhana (RM15 juta hingga RM50 juta), kecil (RM300,000 hingga RM14,999,999.99) dan mikro (kurang daripada RM300,000). Sistem yang dilaksanakan sepadan dengan saiz itu, iaitu HAS bagi besar/sederhana dan IHCS bagi kecil/mikro.</t>
        </is>
      </c>
      <c r="C64" s="7" t="inlineStr">
        <is>
          <t>MPPHM 8(1) (Jadual 1); MHMS 7(5)(a), 7(5)(b)</t>
        </is>
      </c>
      <c r="D64" s="7" t="inlineStr"/>
      <c r="E64" s="7" t="inlineStr"/>
      <c r="F64" t="inlineStr">
        <is>
          <t>D</t>
        </is>
      </c>
    </row>
    <row r="65">
      <c r="A65" s="7" t="inlineStr">
        <is>
          <t>D2</t>
        </is>
      </c>
      <c r="B65" s="7" t="inlineStr">
        <is>
          <t>Polisi halal bertulis yang jelas menyatakan komitmen syarikat terhadap produk halal dan pematuhan keperluan Pensijilan Halal Malaysia dipamerkan, dimaklumkan dan disebarkan kepada organisasi serta pihak berkepentingan (termasuk pelanggan). Pekerja yang ditemu bual dapat menerangkan polisi itu.</t>
        </is>
      </c>
      <c r="C65" s="7" t="inlineStr">
        <is>
          <t>MHMS 5(2), 6(1), 7(5)(b)(i)</t>
        </is>
      </c>
      <c r="D65" s="7" t="inlineStr"/>
      <c r="E65" s="7" t="inlineStr"/>
      <c r="F65" t="inlineStr">
        <is>
          <t>D</t>
        </is>
      </c>
    </row>
    <row r="66">
      <c r="A66" s="7" t="inlineStr">
        <is>
          <t>D3</t>
        </is>
      </c>
      <c r="B66" s="7" t="inlineStr">
        <is>
          <t>Besar/sederhana (HAS): HAS dilaksanakan secara menyeluruh. Manual HAS selaras dengan operasi sebenar kilang, didokumenkan berasingan daripada sistem lain, diluluskan pengurusan tertinggi, dan dikemas kini apabila berlaku perubahan (cth. pelanggan, produk atau talian baharu).</t>
        </is>
      </c>
      <c r="C66" s="7" t="inlineStr">
        <is>
          <t>MPPHM 17(13)(a), 20; MHMS 5(1), 7(5)(a)</t>
        </is>
      </c>
      <c r="D66" s="7" t="inlineStr"/>
      <c r="E66" s="7" t="inlineStr"/>
      <c r="F66" t="inlineStr">
        <is>
          <t>D</t>
        </is>
      </c>
    </row>
    <row r="67">
      <c r="A67" s="7" t="inlineStr">
        <is>
          <t>D4</t>
        </is>
      </c>
      <c r="B67" s="7" t="inlineStr">
        <is>
          <t>Besar/sederhana (HAS): manual HAS mengandungi profil syarikat, objektif, skop (termasuk perkhidmatan pengilangan kontrak dan jenis produk), polisi halal, JKHD, serta prosedur audit halal dalaman, kawalan risiko halal, kawalan bahan mentah, latihan halal, kebolehkesanan, semakan HAS, analisis makmal dan sertu. Setiap prosedur menyatakan tarikh kuat kuasa, tarikh kemas kini, penyedia dan pelulus.</t>
        </is>
      </c>
      <c r="C67" s="7" t="inlineStr">
        <is>
          <t>MHMS 5(1)</t>
        </is>
      </c>
      <c r="D67" s="7" t="inlineStr"/>
      <c r="E67" s="7" t="inlineStr"/>
      <c r="F67" t="inlineStr">
        <is>
          <t>D</t>
        </is>
      </c>
    </row>
    <row r="68">
      <c r="A68" s="7" t="inlineStr">
        <is>
          <t>D5</t>
        </is>
      </c>
      <c r="B68" s="7" t="inlineStr">
        <is>
          <t>Besar/sederhana (HAS): prosedur kawalan halal bertulis bagi penerimaan pelanggan dan bagi penerimaan bahan mentah pelanggan dibangunkan dan dilaksanakan.</t>
        </is>
      </c>
      <c r="C68" s="7" t="inlineStr">
        <is>
          <t>MHMS 7(5)(a)(ii)</t>
        </is>
      </c>
      <c r="D68" s="7" t="inlineStr"/>
      <c r="E68" s="7" t="inlineStr"/>
      <c r="F68" t="inlineStr">
        <is>
          <t>D</t>
        </is>
      </c>
    </row>
    <row r="69">
      <c r="A69" s="7" t="inlineStr">
        <is>
          <t>D6</t>
        </is>
      </c>
      <c r="B69" s="7" t="inlineStr">
        <is>
          <t>Kecil/mikro (IHCS): IHCS mengandungi polisi halal; prosedur kawalan bahan mentah dan/atau kawalan risiko halal; prosedur kawalan halal tambahan bagi penerimaan pelanggan, penerimaan bahan mentah pelanggan dan senarai pelanggan, bahan serta produk; dan prosedur kebolehkesanan.</t>
        </is>
      </c>
      <c r="C69" s="7" t="inlineStr">
        <is>
          <t>MPPHM 17(13)(a), 19; MHMS 6, 7(5)(b)</t>
        </is>
      </c>
      <c r="D69" s="7" t="inlineStr"/>
      <c r="E69" s="7" t="inlineStr"/>
      <c r="F69" t="inlineStr">
        <is>
          <t>D</t>
        </is>
      </c>
    </row>
    <row r="70">
      <c r="A70" s="7" t="inlineStr">
        <is>
          <t>D7</t>
        </is>
      </c>
      <c r="B70" s="7" t="inlineStr">
        <is>
          <t>Besar/sederhana: Eksekutif Halal dilantik bagi setiap cawangan premis kilang.</t>
        </is>
      </c>
      <c r="C70" s="7" t="inlineStr">
        <is>
          <t>MHMS 7(5)(a)(iv); MPPHM 18(1)(f), 18(2)(e), 18(3)(e), 18(5)(c) (ikut jenis produk)</t>
        </is>
      </c>
      <c r="D70" s="7" t="inlineStr"/>
      <c r="E70" s="7" t="inlineStr"/>
      <c r="F70" t="inlineStr">
        <is>
          <t>D</t>
        </is>
      </c>
    </row>
    <row r="71">
      <c r="A71" s="7" t="inlineStr">
        <is>
          <t>D8</t>
        </is>
      </c>
      <c r="B71" s="7" t="inlineStr">
        <is>
          <t>Eksekutif Halal memenuhi semua kelayakan: Muslim, warganegara Malaysia dan berjawatan tetap; memiliki Diploma Pengurusan Halal atau setara, atau 5 tahun pengalaman pengurusan halal; dan memegang Sijil Eksekutif Halal daripada penyedia latihan yang berdaftar dengan HPB JAKIM.</t>
        </is>
      </c>
      <c r="C71" s="7" t="inlineStr">
        <is>
          <t>MPPHM 3; MHMS 5(3)</t>
        </is>
      </c>
      <c r="D71" s="7" t="inlineStr"/>
      <c r="E71" s="7" t="inlineStr"/>
      <c r="F71" t="inlineStr">
        <is>
          <t>D</t>
        </is>
      </c>
    </row>
    <row r="72">
      <c r="A72" s="7" t="inlineStr">
        <is>
          <t>D9</t>
        </is>
      </c>
      <c r="B72" s="7" t="inlineStr">
        <is>
          <t>Eksekutif Halal dilantik secara rasmi dan bertulis oleh pengurusan tertinggi, dengan huraian tugas. Tugas lain yang diberikan kepadanya tidak menjejaskan tugas hakiki pengurusan halal.</t>
        </is>
      </c>
      <c r="C72" s="7" t="inlineStr">
        <is>
          <t>MHMS 5(3)</t>
        </is>
      </c>
      <c r="D72" s="7" t="inlineStr"/>
      <c r="E72" s="7" t="inlineStr"/>
      <c r="F72" t="inlineStr">
        <is>
          <t>D</t>
        </is>
      </c>
    </row>
    <row r="73">
      <c r="A73" s="7" t="inlineStr">
        <is>
          <t>D10</t>
        </is>
      </c>
      <c r="B73" s="7" t="inlineStr">
        <is>
          <t>Eksekutif Halal (atau Penyelia Halal bagi IHCS) mengurus permohonan SPHM skim OEM dan pembaharuannya dalam MYeHALAL, termasuk menambah produk dan pelanggan baharu, dan memastikan proses pensijilan dilengkapkan.</t>
        </is>
      </c>
      <c r="C73" s="7" t="inlineStr">
        <is>
          <t>MHMS 5(3)</t>
        </is>
      </c>
      <c r="D73" s="7" t="inlineStr"/>
      <c r="E73" s="7" t="inlineStr"/>
      <c r="F73" t="inlineStr">
        <is>
          <t>D</t>
        </is>
      </c>
    </row>
    <row r="74">
      <c r="A74" s="7" t="inlineStr">
        <is>
          <t>D11</t>
        </is>
      </c>
      <c r="B74" s="7" t="inlineStr">
        <is>
          <t>Kecil: Penyelia Halal (Muslim, warganegara Malaysia, berjawatan tetap) dilantik untuk menyelia kawasan pemprosesan.</t>
        </is>
      </c>
      <c r="C74" s="7" t="inlineStr">
        <is>
          <t>MPPHM 3; MPPHM 18(1)(f), 18(2)(e), 18(3)(e), 18(5)(c) (ikut jenis produk)</t>
        </is>
      </c>
      <c r="D74" s="7" t="inlineStr"/>
      <c r="E74" s="7" t="inlineStr"/>
      <c r="F74" t="inlineStr">
        <is>
          <t>D</t>
        </is>
      </c>
    </row>
    <row r="75">
      <c r="A75" s="7" t="inlineStr">
        <is>
          <t>D12</t>
        </is>
      </c>
      <c r="B75" s="7" t="inlineStr">
        <is>
          <t>Besar/sederhana: JKHD dilantik secara rasmi dan bertulis oleh pengurusan tertinggi, dengan sekurang-kurangnya 4 ahli (Pengerusi, Eksekutif Halal, wakil pembelian dan wakil pemprosesan). Setiap ahli mempunyai huraian tugas.</t>
        </is>
      </c>
      <c r="C75" s="7" t="inlineStr">
        <is>
          <t>MPPHM 3; MHMS 5(4)</t>
        </is>
      </c>
      <c r="D75" s="7" t="inlineStr"/>
      <c r="E75" s="7" t="inlineStr"/>
      <c r="F75" t="inlineStr">
        <is>
          <t>D</t>
        </is>
      </c>
    </row>
    <row r="76">
      <c r="A76" s="7" t="inlineStr">
        <is>
          <t>D13</t>
        </is>
      </c>
      <c r="B76" s="7" t="inlineStr">
        <is>
          <t>Besar/sederhana: JKHD turut dianggotai wakil bahagian R&amp;D dan/atau bahagian penerimaan bahan mentah.</t>
        </is>
      </c>
      <c r="C76" s="7" t="inlineStr">
        <is>
          <t>MHMS 7(5)(a)(i)</t>
        </is>
      </c>
      <c r="D76" s="7" t="inlineStr"/>
      <c r="E76" s="7" t="inlineStr"/>
      <c r="F76" t="inlineStr">
        <is>
          <t>D</t>
        </is>
      </c>
    </row>
    <row r="77">
      <c r="A77" s="7" t="inlineStr">
        <is>
          <t>D14</t>
        </is>
      </c>
      <c r="B77" s="7" t="inlineStr">
        <is>
          <t>Besar/sederhana: Pengerusi JKHD berjawatan setara atau lebih tinggi daripada Eksekutif Halal (keutamaan diberi kepada Muslim). JKHD diwujudkan bagi setiap cawangan yang beroperasi secara berbeza.</t>
        </is>
      </c>
      <c r="C77" s="7" t="inlineStr">
        <is>
          <t>MHMS 5(4)</t>
        </is>
      </c>
      <c r="D77" s="7" t="inlineStr"/>
      <c r="E77" s="7" t="inlineStr"/>
      <c r="F77" t="inlineStr">
        <is>
          <t>D</t>
        </is>
      </c>
    </row>
    <row r="78">
      <c r="A78" s="7" t="inlineStr">
        <is>
          <t>D15</t>
        </is>
      </c>
      <c r="B78" s="7" t="inlineStr">
        <is>
          <t>Besar/sederhana: JKHD bermesyuarat sekurang-kurangnya 2 kali setahun dengan agenda halal (cth. pelanggan, bahan dan produk baharu, keputusan audit), dan minit mesyuarat disimpan.</t>
        </is>
      </c>
      <c r="C78" s="7" t="inlineStr">
        <is>
          <t>MHMS 5(4)</t>
        </is>
      </c>
      <c r="D78" s="7" t="inlineStr"/>
      <c r="E78" s="7" t="inlineStr"/>
      <c r="F78" t="inlineStr">
        <is>
          <t>D</t>
        </is>
      </c>
    </row>
    <row r="79">
      <c r="A79" s="7" t="inlineStr">
        <is>
          <t>D16</t>
        </is>
      </c>
      <c r="B79" s="7" t="inlineStr">
        <is>
          <t>Besar/sederhana, dan IHCS yang memilih kawalan risiko halal: HCP dikenal pasti berdasarkan carta alir dan pelan lantai bagi setiap aliran produk. HCP merangkumi R&amp;D dan sampel pelanggan, penerimaan bahan (termasuk bahan pelanggan), pemprosesan dan pertukaran talian, premis dan peralatan, pekerja, pembungkusan, penyimpanan dan pengangkutan.</t>
        </is>
      </c>
      <c r="C79" s="7" t="inlineStr">
        <is>
          <t>MHMS 5(6), 7(5)(b)(ii)</t>
        </is>
      </c>
      <c r="D79" s="7" t="inlineStr"/>
      <c r="E79" s="7" t="inlineStr"/>
      <c r="F79" t="inlineStr">
        <is>
          <t>D</t>
        </is>
      </c>
    </row>
    <row r="80">
      <c r="A80" s="7" t="inlineStr">
        <is>
          <t>D17</t>
        </is>
      </c>
      <c r="B80" s="7" t="inlineStr">
        <is>
          <t>Besar/sederhana, dan IHCS yang memilih kawalan risiko halal: pelan pengurusan risiko halal bagi setiap HCP menyatakan risiko halal, kaedah kawalan, kekerapan, PIC, tindakan pembetulan dan rekod. Pelan ini didokumenkan berasingan daripada sistem lain (cth. HACCP, GMP).</t>
        </is>
      </c>
      <c r="C80" s="7" t="inlineStr">
        <is>
          <t>MHMS 5(6), 7(5)(b)(ii)</t>
        </is>
      </c>
      <c r="D80" s="7" t="inlineStr"/>
      <c r="E80" s="7" t="inlineStr"/>
      <c r="F80" t="inlineStr">
        <is>
          <t>D</t>
        </is>
      </c>
    </row>
    <row r="81">
      <c r="A81" s="7" t="inlineStr">
        <is>
          <t>D18</t>
        </is>
      </c>
      <c r="B81" s="7" t="inlineStr">
        <is>
          <t>Besar/sederhana: audit halal dalaman dijalankan mengikut prosedur bertulis sekurang-kurangnya sekali setahun bagi setiap premis atau cawangan. Juruauditnya dilantik JKHD dan memegang Sijil Audit Halal Dalaman atau Sijil Eksekutif Halal (juruaudit pihak ketiga yang layak dibenarkan).</t>
        </is>
      </c>
      <c r="C81" s="7" t="inlineStr">
        <is>
          <t>MHMS 5(5)</t>
        </is>
      </c>
      <c r="D81" s="7" t="inlineStr"/>
      <c r="E81" s="7" t="inlineStr"/>
      <c r="F81" t="inlineStr">
        <is>
          <t>D</t>
        </is>
      </c>
    </row>
    <row r="82">
      <c r="A82" s="7" t="inlineStr">
        <is>
          <t>D19</t>
        </is>
      </c>
      <c r="B82" s="7" t="inlineStr">
        <is>
          <t>Laporan dan senarai semak audit halal dalaman (semakan dokumen termasuk fail pelanggan, pemeriksaan lapangan dan HCP) dibentangkan kepada JKHD. Tindakan pembetulan dibuat dalam tempoh 14 hari atau tempoh yang dipersetujui, dan disahkan oleh JKHD.</t>
        </is>
      </c>
      <c r="C82" s="7" t="inlineStr">
        <is>
          <t>MHMS 5(5)</t>
        </is>
      </c>
      <c r="D82" s="7" t="inlineStr"/>
      <c r="E82" s="7" t="inlineStr"/>
      <c r="F82" t="inlineStr">
        <is>
          <t>D</t>
        </is>
      </c>
    </row>
    <row r="83">
      <c r="A83" s="7" t="inlineStr">
        <is>
          <t>D20</t>
        </is>
      </c>
      <c r="B83" s="7" t="inlineStr">
        <is>
          <t>Besar/sederhana (HAS): audit pembekal, termasuk pembekal yang ditetapkan pelanggan, dijalankan apabila perlu, dan rekodnya disimpan.</t>
        </is>
      </c>
      <c r="C83" s="7" t="inlineStr">
        <is>
          <t>MHMS 5(5)</t>
        </is>
      </c>
      <c r="D83" s="7" t="inlineStr"/>
      <c r="E83" s="7" t="inlineStr"/>
      <c r="F83" t="inlineStr">
        <is>
          <t>D</t>
        </is>
      </c>
    </row>
    <row r="84">
      <c r="A84" s="7" t="inlineStr">
        <is>
          <t>D21</t>
        </is>
      </c>
      <c r="B84" s="7" t="inlineStr">
        <is>
          <t>Besar/sederhana: semakan HAS (keberkesanan HAS dan keupayaan ahli JKHD) dibuat sekurang-kurangnya sekali setahun oleh JKHD bersama pengurusan tertinggi, dan keputusannya diluluskan secara bertulis.</t>
        </is>
      </c>
      <c r="C84" s="7" t="inlineStr">
        <is>
          <t>MHMS 5(10)</t>
        </is>
      </c>
      <c r="D84" s="7" t="inlineStr"/>
      <c r="E84" s="7" t="inlineStr"/>
      <c r="F84" t="inlineStr">
        <is>
          <t>D</t>
        </is>
      </c>
    </row>
    <row r="85">
      <c r="A85" s="7" t="inlineStr">
        <is>
          <t>D22</t>
        </is>
      </c>
      <c r="B85" s="7" t="inlineStr">
        <is>
          <t>Besar/sederhana: prosedur analisis makmal bertulis tersedia. Bahan kritikal yang diragui, termasuk bahan yang dibekalkan pelanggan, dianalisis di makmal yang ditetapkan (MyHAC, Jabatan Kimia Malaysia atau makmal panel yang dilantik), dan rekodnya disimpan.</t>
        </is>
      </c>
      <c r="C85" s="7" t="inlineStr">
        <is>
          <t>MHMS 5(11)</t>
        </is>
      </c>
      <c r="D85" s="7" t="inlineStr"/>
      <c r="E85" s="7" t="inlineStr"/>
      <c r="F85" t="inlineStr">
        <is>
          <t>D</t>
        </is>
      </c>
    </row>
    <row r="86">
      <c r="A86" s="7" t="inlineStr">
        <is>
          <t>D23</t>
        </is>
      </c>
      <c r="B86" s="7" t="inlineStr">
        <is>
          <t>Besar/sederhana: prosedur sertu bertulis tersedia dan selaras dengan garis panduan sertu JAKIM serta peraturan MAIN/JAIN.</t>
        </is>
      </c>
      <c r="C86" s="7" t="inlineStr">
        <is>
          <t>MHMS 5(12)</t>
        </is>
      </c>
      <c r="D86" s="7" t="inlineStr"/>
      <c r="E86" s="7" t="inlineStr"/>
      <c r="F86" t="inlineStr">
        <is>
          <t>D</t>
        </is>
      </c>
    </row>
    <row r="87">
      <c r="A87" s="7" t="inlineStr">
        <is>
          <t>D24</t>
        </is>
      </c>
      <c r="B87" s="7" t="inlineStr">
        <is>
          <t>Ada bukti pemantauan berterusan terhadap pelaksanaan kawalan halal (cth. rekod semakan berkala oleh Eksekutif Halal atau Penyelia Halal).</t>
        </is>
      </c>
      <c r="C87" s="7" t="inlineStr">
        <is>
          <t>MPPHM 17(13)(b)</t>
        </is>
      </c>
      <c r="D87" s="7" t="inlineStr"/>
      <c r="E87" s="7" t="inlineStr"/>
      <c r="F87" t="inlineStr">
        <is>
          <t>D</t>
        </is>
      </c>
    </row>
    <row r="88">
      <c r="A88" s="7" t="inlineStr">
        <is>
          <t>D25</t>
        </is>
      </c>
      <c r="B88" s="7" t="inlineStr">
        <is>
          <t>Salinan pekeliling, garis panduan, fatwa dan MS terkini yang berkaitan dengan jenis produk yang dikilangkan disimpan, dan perubahan yang dikehendaki telah dilaksanakan.</t>
        </is>
      </c>
      <c r="C88" s="7" t="inlineStr">
        <is>
          <t>MPPHM 17(16)(b)</t>
        </is>
      </c>
      <c r="D88" s="7" t="inlineStr"/>
      <c r="E88" s="7" t="inlineStr"/>
      <c r="F88" t="inlineStr">
        <is>
          <t>D</t>
        </is>
      </c>
    </row>
    <row r="89">
      <c r="A89" s="4" t="inlineStr">
        <is>
          <t>Bahagian E: Formulasi, R&amp;D, Sampel &amp; Perubahan Produk Pelanggan</t>
        </is>
      </c>
      <c r="B89" s="5" t="n"/>
      <c r="C89" s="5" t="n"/>
      <c r="D89" s="5" t="n"/>
      <c r="E89" s="6" t="n"/>
    </row>
    <row r="90" ht="26" customHeight="1">
      <c r="A90" s="2" t="inlineStr">
        <is>
          <t>Semak fail pembangunan produk pelanggan (kelulusan formulasi, perubahan dan larian percubaan), kemudian periksa makmal R&amp;D/QC dan kawasan simpanan sampel.</t>
        </is>
      </c>
    </row>
    <row r="91">
      <c r="A91" s="7" t="inlineStr">
        <is>
          <t>E1</t>
        </is>
      </c>
      <c r="B91" s="7" t="inlineStr">
        <is>
          <t>Setiap formulasi produk pelanggan, termasuk formula yang disediakan oleh pelanggan, disemak status halal setiap bahannya oleh Eksekutif Halal, Penyelia Halal atau JKHD, dan diluluskan secara bertulis sebelum sampel dibuat atau pengeluaran bermula.</t>
        </is>
      </c>
      <c r="C91" s="7" t="inlineStr">
        <is>
          <t>MHMS 5(6), 7(5)(a)(ii)</t>
        </is>
      </c>
      <c r="D91" s="7" t="inlineStr"/>
      <c r="E91" s="7" t="inlineStr"/>
      <c r="F91" t="inlineStr">
        <is>
          <t>E</t>
        </is>
      </c>
    </row>
    <row r="92">
      <c r="A92" s="7" t="inlineStr">
        <is>
          <t>E2</t>
        </is>
      </c>
      <c r="B92" s="7" t="inlineStr">
        <is>
          <t>Formulasi atau spesifikasi yang diluluskan menyatakan sama ada setiap bahan dibeli oleh kilang atau dibekalkan oleh pelanggan, berserta pengeluar asal dan sijil halal atau dokumen sokongannya.</t>
        </is>
      </c>
      <c r="C92" s="7" t="inlineStr">
        <is>
          <t>MHMS 7(5)(a)(iii), 5(7); MPPHM 17(1)(e)</t>
        </is>
      </c>
      <c r="D92" s="7" t="inlineStr"/>
      <c r="E92" s="7" t="inlineStr"/>
      <c r="F92" t="inlineStr">
        <is>
          <t>E</t>
        </is>
      </c>
    </row>
    <row r="93">
      <c r="A93" s="7" t="inlineStr">
        <is>
          <t>E3</t>
        </is>
      </c>
      <c r="B93" s="7" t="inlineStr">
        <is>
          <t>Etanol atau alkohol dalam formulasi pelanggan (cth. sebagai pelarut perisa, ekstrak, minyak wangi atau ubat) tidak diperoleh melalui proses pembuatan arak, dan bahan arak (cth. wain, sake, rum) tidak digunakan.</t>
        </is>
      </c>
      <c r="C93" s="7" t="inlineStr">
        <is>
          <t>Muzakarah Khas Jawatankuasa Fatwa MKI (14-16 Julai 2011); MPPHM 17(16)(b)</t>
        </is>
      </c>
      <c r="D93" s="7" t="inlineStr"/>
      <c r="E93" s="7" t="inlineStr"/>
      <c r="F93" t="inlineStr">
        <is>
          <t>E</t>
        </is>
      </c>
    </row>
    <row r="94">
      <c r="A94" s="7" t="inlineStr">
        <is>
          <t>E4</t>
        </is>
      </c>
      <c r="B94" s="7" t="inlineStr">
        <is>
          <t>OEM makanan &amp; minuman: perisa atau pewarna yang mengandungi alkohol untuk tujuan penstabilan hanya digunakan jika alkohol itu bukan daripada proses pembuatan arak, dan kandungan alkohol dalam produk akhir tidak memabukkan serta tidak melebihi 0.5%.</t>
        </is>
      </c>
      <c r="C94" s="7" t="inlineStr">
        <is>
          <t>Muzakarah Khas Jawatankuasa Fatwa MKI (14-16 Julai 2011); MPPHM 17(16)(b)</t>
        </is>
      </c>
      <c r="D94" s="7" t="inlineStr"/>
      <c r="E94" s="7" t="inlineStr"/>
      <c r="F94" t="inlineStr">
        <is>
          <t>E</t>
        </is>
      </c>
    </row>
    <row r="95">
      <c r="A95" s="7" t="inlineStr">
        <is>
          <t>E5</t>
        </is>
      </c>
      <c r="B95" s="7" t="inlineStr">
        <is>
          <t>Produk pelanggan tidak menyerupai haiwan najis mughallazah, tiada unsur keagamaan, dan tiada implikasi negatif (cth. minyak untuk tujuan ritual).</t>
        </is>
      </c>
      <c r="C95" s="7" t="inlineStr">
        <is>
          <t>MPPHM 17(2)(a), 17(3)(d)</t>
        </is>
      </c>
      <c r="D95" s="7" t="inlineStr"/>
      <c r="E95" s="7" t="inlineStr"/>
      <c r="F95" t="inlineStr">
        <is>
          <t>E</t>
        </is>
      </c>
    </row>
    <row r="96">
      <c r="A96" s="7" t="inlineStr">
        <is>
          <t>E6</t>
        </is>
      </c>
      <c r="B96" s="7" t="inlineStr">
        <is>
          <t>Setiap perubahan formulasi, bahan, pembekal atau pengeluar bahan yang diminta pelanggan dinilai status halalnya dan diluluskan sebelum dilaksanakan, kemudian diisytiharkan kepada pihak berkuasa melalui MYeHALAL.</t>
        </is>
      </c>
      <c r="C96" s="7" t="inlineStr">
        <is>
          <t>MHMS 5(3), 5(4), 5(7); MPPHM 17(1)(g)</t>
        </is>
      </c>
      <c r="D96" s="7" t="inlineStr"/>
      <c r="E96" s="7" t="inlineStr"/>
      <c r="F96" t="inlineStr">
        <is>
          <t>E</t>
        </is>
      </c>
    </row>
    <row r="97">
      <c r="A97" s="7" t="inlineStr">
        <is>
          <t>E7</t>
        </is>
      </c>
      <c r="B97" s="7" t="inlineStr">
        <is>
          <t>Produk pelanggan yang dipohon SPHM sudah sedia dikomersialkan: bahan mentah tersedia untuk disemak semasa audit, tiada perubahan bahan atau label, larian percubaan (trial/pilot run) telah dibuat di talian pengeluaran, dan produk telah diluluskan pengurusan. Produk yang masih di peringkat awal R&amp;D tidak dipohon.</t>
        </is>
      </c>
      <c r="C97" s="7" t="inlineStr">
        <is>
          <t>MPPHM 17(2)(h), 6(10)</t>
        </is>
      </c>
      <c r="D97" s="7" t="inlineStr"/>
      <c r="E97" s="7" t="inlineStr"/>
      <c r="F97" t="inlineStr">
        <is>
          <t>E</t>
        </is>
      </c>
    </row>
    <row r="98">
      <c r="A98" s="7" t="inlineStr">
        <is>
          <t>E8</t>
        </is>
      </c>
      <c r="B98" s="7" t="inlineStr">
        <is>
          <t>Makmal R&amp;D dan QC termasuk dalam kawalan halal premis. Bahan rujukan, reagen dan bahan kimia makmal disimpan berasingan, dilabel, dan tidak masuk ke aliran produk.</t>
        </is>
      </c>
      <c r="C98" s="7" t="inlineStr">
        <is>
          <t>MPPHM 17(3)(g), 17(8)(a)</t>
        </is>
      </c>
      <c r="D98" s="7" t="inlineStr"/>
      <c r="E98" s="7" t="inlineStr"/>
      <c r="F98" t="inlineStr">
        <is>
          <t>E</t>
        </is>
      </c>
    </row>
    <row r="99">
      <c r="A99" s="7" t="inlineStr">
        <is>
          <t>E9</t>
        </is>
      </c>
      <c r="B99" s="7" t="inlineStr">
        <is>
          <t>Sampel atau prototaip untuk pelanggan dibuat daripada bahan yang telah disahkan halal sahaja. Bahan sampel daripada pelanggan atau pembekal yang belum disahkan tidak dibawa masuk ke kawasan pengeluaran.</t>
        </is>
      </c>
      <c r="C99" s="7" t="inlineStr">
        <is>
          <t>MPPHM 17(3)(b); MHMS 5(6)</t>
        </is>
      </c>
      <c r="D99" s="7" t="inlineStr"/>
      <c r="E99" s="7" t="inlineStr"/>
      <c r="F99" t="inlineStr">
        <is>
          <t>E</t>
        </is>
      </c>
    </row>
    <row r="100">
      <c r="A100" s="7" t="inlineStr">
        <is>
          <t>E10</t>
        </is>
      </c>
      <c r="B100" s="7" t="inlineStr">
        <is>
          <t>Sampel produk pasaran atau produk rujukan (benchmark) yang dibawa pelanggan dan tidak diketahui status halalnya tidak disimpan di kawasan pemprosesan atau stor bahan. Jika perlu disimpan untuk rujukan, sampel itu diasingkan, dilabel dan dikawal.</t>
        </is>
      </c>
      <c r="C100" s="7" t="inlineStr">
        <is>
          <t>MPPHM 17(3)(b), 17(4)(c), 17(8)(a)</t>
        </is>
      </c>
      <c r="D100" s="7" t="inlineStr"/>
      <c r="E100" s="7" t="inlineStr"/>
      <c r="F100" t="inlineStr">
        <is>
          <t>E</t>
        </is>
      </c>
    </row>
    <row r="101">
      <c r="A101" s="4" t="inlineStr">
        <is>
          <t>Bahagian F: Bahan Mentah, Pembekal &amp; Bahan Dibekalkan Pelanggan</t>
        </is>
      </c>
      <c r="B101" s="5" t="n"/>
      <c r="C101" s="5" t="n"/>
      <c r="D101" s="5" t="n"/>
      <c r="E101" s="6" t="n"/>
    </row>
    <row r="102" ht="26" customHeight="1">
      <c r="A102" s="2" t="inlineStr">
        <is>
          <t>Semak senarai induk bahan mentah, sijil halal dan rekod kelulusan pembekal, kemudian periksa bahan sebenar di kawasan penerimaan, termasuk bahan dan bahan pembungkusan yang dibekalkan pelanggan.</t>
        </is>
      </c>
    </row>
    <row r="103">
      <c r="A103" s="7" t="inlineStr">
        <is>
          <t>F1</t>
        </is>
      </c>
      <c r="B103" s="7" t="inlineStr">
        <is>
          <t>Senarai Induk Bahan Mentah merangkumi semua bahan, termasuk bahan bantu pemprosesan dan bahan yang dibekalkan pelanggan. Bagi setiap bahan, senarai menyatakan nama bahan, nama saintifik atau dagangan, sumber, nama dan alamat pengeluar, status perisytiharan kepada pihak berkuasa, badan pensijilan halal dan tarikh tamat sijil, serta dokumen sokongan bagi bahan tanpa sijil. Senarai ini dikemas kini.</t>
        </is>
      </c>
      <c r="C103" s="7" t="inlineStr">
        <is>
          <t>MHMS 5(7); MPPHM 3 (tafsiran bahan mentah)</t>
        </is>
      </c>
      <c r="D103" s="7" t="inlineStr"/>
      <c r="E103" s="7" t="inlineStr"/>
      <c r="F103" t="inlineStr">
        <is>
          <t>F</t>
        </is>
      </c>
    </row>
    <row r="104">
      <c r="A104" s="7" t="inlineStr">
        <is>
          <t>F2</t>
        </is>
      </c>
      <c r="B104" s="7" t="inlineStr">
        <is>
          <t>Prosedur kawalan bahan mentah bertulis meliputi pembelian, penerimaan dan penyimpanan, dengan rekod dan jejak audit.</t>
        </is>
      </c>
      <c r="C104" s="7" t="inlineStr">
        <is>
          <t>MHMS 5(7), 6(2), 7(5)(b)(ii)</t>
        </is>
      </c>
      <c r="D104" s="7" t="inlineStr"/>
      <c r="E104" s="7" t="inlineStr"/>
      <c r="F104" t="inlineStr">
        <is>
          <t>F</t>
        </is>
      </c>
    </row>
    <row r="105">
      <c r="A105" s="7" t="inlineStr">
        <is>
          <t>F3</t>
        </is>
      </c>
      <c r="B105" s="7" t="inlineStr">
        <is>
          <t>Sijil halal setiap bahan masih sah pada tarikh pembelian atau penerimaan. Tarikh tamat sijil dipantau, dan sijil baharu diperoleh sebelum sijil lama tamat.</t>
        </is>
      </c>
      <c r="C105" s="7" t="inlineStr">
        <is>
          <t>MHMS 5(7)</t>
        </is>
      </c>
      <c r="D105" s="7" t="inlineStr"/>
      <c r="E105" s="7" t="inlineStr"/>
      <c r="F105" t="inlineStr">
        <is>
          <t>F</t>
        </is>
      </c>
    </row>
    <row r="106">
      <c r="A106" s="7" t="inlineStr">
        <is>
          <t>F4</t>
        </is>
      </c>
      <c r="B106" s="7" t="inlineStr">
        <is>
          <t>Pembekal baharu, pengeluar alternatif dan pembekal yang ditetapkan pelanggan dinilai dan diluluskan dari segi halal sebelum bahan dibeli atau diterima.</t>
        </is>
      </c>
      <c r="C106" s="7" t="inlineStr">
        <is>
          <t>MHMS 5(7)</t>
        </is>
      </c>
      <c r="D106" s="7" t="inlineStr"/>
      <c r="E106" s="7" t="inlineStr"/>
      <c r="F106" t="inlineStr">
        <is>
          <t>F</t>
        </is>
      </c>
    </row>
    <row r="107">
      <c r="A107" s="7" t="inlineStr">
        <is>
          <t>F5</t>
        </is>
      </c>
      <c r="B107" s="7" t="inlineStr">
        <is>
          <t>Setiap bahan mentah halal, selamat dan tidak tercemar. Bahan itu bukan daripada haiwan yang tidak halal atau tidak disembelih mengikut Hukum Syarak, tidak mengandungi najis atau bahagian manusia, tidak memabukkan, tidak beracun atau memudaratkan, dan tidak tercemar oleh bahan atau peralatan tidak halal.</t>
        </is>
      </c>
      <c r="C107" s="7" t="inlineStr">
        <is>
          <t>MPPHM 17(1)(a); Perintah Takrif Halal 2011 perenggan 3(1)</t>
        </is>
      </c>
      <c r="D107" s="7" t="inlineStr"/>
      <c r="E107" s="7" t="inlineStr"/>
      <c r="F107" t="inlineStr">
        <is>
          <t>F</t>
        </is>
      </c>
    </row>
    <row r="108">
      <c r="A108" s="7" t="inlineStr">
        <is>
          <t>F6</t>
        </is>
      </c>
      <c r="B108" s="7" t="inlineStr">
        <is>
          <t>Bahan bersumber haiwan (cth. gelatin, kolagen, lemak dan derivatifnya) memiliki sijil halal yang sah daripada pihak berkuasa (JAKIM/JAIN/MAIN) atau daripada badan pensijilan halal luar negara yang diiktiraf JAKIM.</t>
        </is>
      </c>
      <c r="C108" s="7" t="inlineStr">
        <is>
          <t>MPPHM 17(1)(b)</t>
        </is>
      </c>
      <c r="D108" s="7" t="inlineStr"/>
      <c r="E108" s="7" t="inlineStr"/>
      <c r="F108" t="inlineStr">
        <is>
          <t>F</t>
        </is>
      </c>
    </row>
    <row r="109">
      <c r="A109" s="7" t="inlineStr">
        <is>
          <t>F7</t>
        </is>
      </c>
      <c r="B109" s="7" t="inlineStr">
        <is>
          <t>Sijil halal luar negara dikeluarkan oleh badan pensijilan yang tersenarai dalam senarai badan pensijilan halal luar negara yang diiktiraf JAKIM yang terkini (Jadual Kedua Perintah 2011, seperti dipinda dari semasa ke semasa).</t>
        </is>
      </c>
      <c r="C109" s="7" t="inlineStr">
        <is>
          <t>MPPHM 17(1)(b); Perintah Perakuan dan Penandaan Halal 2011 perenggan 5, Jadual Kedua</t>
        </is>
      </c>
      <c r="D109" s="7" t="inlineStr"/>
      <c r="E109" s="7" t="inlineStr"/>
      <c r="F109" t="inlineStr">
        <is>
          <t>F</t>
        </is>
      </c>
    </row>
    <row r="110">
      <c r="A110" s="7" t="inlineStr">
        <is>
          <t>F8</t>
        </is>
      </c>
      <c r="B110" s="7" t="inlineStr">
        <is>
          <t>Bahan berasaskan haiwan yang diimport datang daripada loji sembelihan atau loji pemprosesan yang diluluskan JPV.</t>
        </is>
      </c>
      <c r="C110" s="7" t="inlineStr">
        <is>
          <t>MPPHM 17(1)(c)</t>
        </is>
      </c>
      <c r="D110" s="7" t="inlineStr"/>
      <c r="E110" s="7" t="inlineStr"/>
      <c r="F110" t="inlineStr">
        <is>
          <t>F</t>
        </is>
      </c>
    </row>
    <row r="111">
      <c r="A111" s="7" t="inlineStr">
        <is>
          <t>F9</t>
        </is>
      </c>
      <c r="B111" s="7" t="inlineStr">
        <is>
          <t>Bahan tanpa sijil halal, atau dengan sijil daripada badan yang tidak diiktiraf JAKIM, mempunyai dokumen sokongan lengkap (komposisi, carta alir proses dan sumber bahan).</t>
        </is>
      </c>
      <c r="C111" s="7" t="inlineStr">
        <is>
          <t>MPPHM 17(1)(d)</t>
        </is>
      </c>
      <c r="D111" s="7" t="inlineStr"/>
      <c r="E111" s="7" t="inlineStr"/>
      <c r="F111" t="inlineStr">
        <is>
          <t>F</t>
        </is>
      </c>
    </row>
    <row r="112">
      <c r="A112" s="7" t="inlineStr">
        <is>
          <t>F10</t>
        </is>
      </c>
      <c r="B112" s="7" t="inlineStr">
        <is>
          <t>Bagi bahan atau formula proprietari pelanggan (cth. premix, perisa, ekstrak), komposisi penuh atau sijil halal pengeluar asal diperoleh. Bahan tidak diterima atas alasan 'rahsia dagangan' tanpa dokumen halal.</t>
        </is>
      </c>
      <c r="C112" s="7" t="inlineStr">
        <is>
          <t>MPPHM 17(1)(d), 17(1)(e)</t>
        </is>
      </c>
      <c r="D112" s="7" t="inlineStr"/>
      <c r="E112" s="7" t="inlineStr"/>
      <c r="F112" t="inlineStr">
        <is>
          <t>F</t>
        </is>
      </c>
    </row>
    <row r="113">
      <c r="A113" s="7" t="inlineStr">
        <is>
          <t>F11</t>
        </is>
      </c>
      <c r="B113" s="7" t="inlineStr">
        <is>
          <t>Pengeluar asal setiap bahan dapat dikenal pasti, bukan sekadar nama pengedar, peniaga atau pelanggan yang membekalkannya.</t>
        </is>
      </c>
      <c r="C113" s="7" t="inlineStr">
        <is>
          <t>MPPHM 17(1)(e)</t>
        </is>
      </c>
      <c r="D113" s="7" t="inlineStr"/>
      <c r="E113" s="7" t="inlineStr"/>
      <c r="F113" t="inlineStr">
        <is>
          <t>F</t>
        </is>
      </c>
    </row>
    <row r="114">
      <c r="A114" s="7" t="inlineStr">
        <is>
          <t>F12</t>
        </is>
      </c>
      <c r="B114" s="7" t="inlineStr">
        <is>
          <t>Bahan yang melalui proses tambahan oleh pihak ketiga (cth. pemotongan, pra-campuran, pembungkusan semula) memiliki pensijilan halal yang sah.</t>
        </is>
      </c>
      <c r="C114" s="7" t="inlineStr">
        <is>
          <t>MPPHM 17(1)(f)</t>
        </is>
      </c>
      <c r="D114" s="7" t="inlineStr"/>
      <c r="E114" s="7" t="inlineStr"/>
      <c r="F114" t="inlineStr">
        <is>
          <t>F</t>
        </is>
      </c>
    </row>
    <row r="115">
      <c r="A115" s="7" t="inlineStr">
        <is>
          <t>F13</t>
        </is>
      </c>
      <c r="B115" s="7" t="inlineStr">
        <is>
          <t>Bahan bantu pemprosesan dan bahan yang bersentuhan dengan produk semasa proses (cth. agen pelepas acuan, gas, bahan penapis, agen antibuih) disahkan status halalnya dan disenaraikan dalam senarai induk.</t>
        </is>
      </c>
      <c r="C115" s="7" t="inlineStr">
        <is>
          <t>MPPHM 3 (tafsiran bahan mentah), 17(1)(a); MHMS 5(7)</t>
        </is>
      </c>
      <c r="D115" s="7" t="inlineStr"/>
      <c r="E115" s="7" t="inlineStr"/>
      <c r="F115" t="inlineStr">
        <is>
          <t>F</t>
        </is>
      </c>
    </row>
    <row r="116">
      <c r="A116" s="7" t="inlineStr">
        <is>
          <t>F14</t>
        </is>
      </c>
      <c r="B116" s="7" t="inlineStr">
        <is>
          <t>Semua bahan mentah, termasuk bahan yang dibekalkan pelanggan, diisytiharkan dalam MYeHALAL secara terperinci, sama seperti pada label bahan.</t>
        </is>
      </c>
      <c r="C116" s="7" t="inlineStr">
        <is>
          <t>MPPHM 17(1)(g)</t>
        </is>
      </c>
      <c r="D116" s="7" t="inlineStr"/>
      <c r="E116" s="7" t="inlineStr"/>
      <c r="F116" t="inlineStr">
        <is>
          <t>F</t>
        </is>
      </c>
    </row>
    <row r="117">
      <c r="A117" s="7" t="inlineStr">
        <is>
          <t>F15</t>
        </is>
      </c>
      <c r="B117" s="7" t="inlineStr">
        <is>
          <t>Bahan mematuhi perundangan yang berkaitan dengan jenis produk (cth. bahan tambah yang dibenarkan, bahan yang dilarang).</t>
        </is>
      </c>
      <c r="C117" s="7" t="inlineStr">
        <is>
          <t>MPPHM 17(1)(i)</t>
        </is>
      </c>
      <c r="D117" s="7" t="inlineStr"/>
      <c r="E117" s="7" t="inlineStr"/>
      <c r="F117" t="inlineStr">
        <is>
          <t>F</t>
        </is>
      </c>
    </row>
    <row r="118">
      <c r="A118" s="7" t="inlineStr">
        <is>
          <t>F16</t>
        </is>
      </c>
      <c r="B118" s="7" t="inlineStr">
        <is>
          <t>Laporan analisis kualiti air tersedia jika air diambil daripada sumber selain bekalan awam.</t>
        </is>
      </c>
      <c r="C118" s="7" t="inlineStr">
        <is>
          <t>MPPHM 17(1)(j)</t>
        </is>
      </c>
      <c r="D118" s="7" t="inlineStr"/>
      <c r="E118" s="7" t="inlineStr"/>
      <c r="F118" t="inlineStr">
        <is>
          <t>F</t>
        </is>
      </c>
    </row>
    <row r="119">
      <c r="A119" s="7" t="inlineStr">
        <is>
          <t>F17</t>
        </is>
      </c>
      <c r="B119" s="7" t="inlineStr">
        <is>
          <t>Bahan pembungkusan yang bersentuhan dengan produk (cth. botol, tiub, filem, label), sama ada dibeli oleh kilang atau dibekalkan oleh pelanggan, disahkan halal, tidak mencemarkan dan selamat.</t>
        </is>
      </c>
      <c r="C119" s="7" t="inlineStr">
        <is>
          <t>MPPHM 17(6)(a); MHMS 7(5)(a)(ii)</t>
        </is>
      </c>
      <c r="D119" s="7" t="inlineStr"/>
      <c r="E119" s="7" t="inlineStr"/>
      <c r="F119" t="inlineStr">
        <is>
          <t>F</t>
        </is>
      </c>
    </row>
    <row r="120">
      <c r="A120" s="7" t="inlineStr">
        <is>
          <t>F18</t>
        </is>
      </c>
      <c r="B120" s="7" t="inlineStr">
        <is>
          <t>Di kawasan penerimaan, label, pengeluar dan sijil halal bahan yang dibeli oleh kilang sepadan dengan senarai induk. Bahan yang tidak sepadan ditolak atau dikuarantin.</t>
        </is>
      </c>
      <c r="C120" s="7" t="inlineStr">
        <is>
          <t>MHMS 5(7)</t>
        </is>
      </c>
      <c r="D120" s="7" t="inlineStr"/>
      <c r="E120" s="7" t="inlineStr"/>
      <c r="F120" t="inlineStr">
        <is>
          <t>F</t>
        </is>
      </c>
    </row>
    <row r="121">
      <c r="A121" s="7" t="inlineStr">
        <is>
          <t>F19</t>
        </is>
      </c>
      <c r="B121" s="7" t="inlineStr">
        <is>
          <t>Label setiap bahan yang diterima jelas, terang dan boleh difahami, serta menyatakan nama bahan dan pengeluarnya.</t>
        </is>
      </c>
      <c r="C121" s="7" t="inlineStr">
        <is>
          <t>MPPHM 17(1)(h)</t>
        </is>
      </c>
      <c r="D121" s="7" t="inlineStr"/>
      <c r="E121" s="7" t="inlineStr"/>
      <c r="F121" t="inlineStr">
        <is>
          <t>F</t>
        </is>
      </c>
    </row>
    <row r="122">
      <c r="A122" s="7" t="inlineStr">
        <is>
          <t>F20</t>
        </is>
      </c>
      <c r="B122" s="7" t="inlineStr">
        <is>
          <t>Bagi bahan yang dibekalkan pelanggan, sijil halal atau dokumen sokongan diterima dan disemak sebelum penghantaran pertama. Setiap penghantaran diperiksa (nama bahan, pengeluar, nombor lot, label, keadaan bungkusan) dan dipadankan dengan senarai bahan yang diluluskan.</t>
        </is>
      </c>
      <c r="C122" s="7" t="inlineStr">
        <is>
          <t>MHMS 7(5)(a)(ii)</t>
        </is>
      </c>
      <c r="D122" s="7" t="inlineStr"/>
      <c r="E122" s="7" t="inlineStr"/>
      <c r="F122" t="inlineStr">
        <is>
          <t>F</t>
        </is>
      </c>
    </row>
    <row r="123">
      <c r="A123" s="7" t="inlineStr">
        <is>
          <t>F21</t>
        </is>
      </c>
      <c r="B123" s="7" t="inlineStr">
        <is>
          <t>Bahan yang dibekalkan pelanggan tetapi belum disahkan status halalnya (cth. sijil tamat tempoh, pengeluar berbeza, label tidak sepadan) dikuarantin dan dilabel, dan tidak digunakan sehingga disahkan atau dipulangkan.</t>
        </is>
      </c>
      <c r="C123" s="7" t="inlineStr">
        <is>
          <t>MHMS 7(5)(a)(ii); MPPHM 17(4)(b)</t>
        </is>
      </c>
      <c r="D123" s="7" t="inlineStr"/>
      <c r="E123" s="7" t="inlineStr"/>
      <c r="F123" t="inlineStr">
        <is>
          <t>F</t>
        </is>
      </c>
    </row>
    <row r="124">
      <c r="A124" s="4" t="inlineStr">
        <is>
          <t>Bahagian G: Premis, Persekitaran &amp; Sanitasi</t>
        </is>
      </c>
      <c r="B124" s="5" t="n"/>
      <c r="C124" s="5" t="n"/>
      <c r="D124" s="5" t="n"/>
      <c r="E124" s="6" t="n"/>
    </row>
    <row r="125" ht="26" customHeight="1">
      <c r="A125" s="2" t="inlineStr">
        <is>
          <t>Dengan merujuk pelan lantai, berjalan dari kawasan luar dan kawasan sisa ke bangunan kilang, kemudahan kebersihan, pejabat, kantin dan tempat tinggal pekerja (jika ada).</t>
        </is>
      </c>
    </row>
    <row r="126">
      <c r="A126" s="7" t="inlineStr">
        <is>
          <t>G1</t>
        </is>
      </c>
      <c r="B126" s="7" t="inlineStr">
        <is>
          <t>Pelan lantai terkini disediakan. Susun atur kilang mencegah pencemaran silang (termasuk antara produk pelanggan yang berbeza), memudahkan pembersihan, dan menjaga keselamatan serta kesihatan.</t>
        </is>
      </c>
      <c r="C126" s="7" t="inlineStr">
        <is>
          <t>MPPHM 17(8)(j)</t>
        </is>
      </c>
      <c r="D126" s="7" t="inlineStr"/>
      <c r="E126" s="7" t="inlineStr"/>
      <c r="F126" t="inlineStr">
        <is>
          <t>G</t>
        </is>
      </c>
    </row>
    <row r="127">
      <c r="A127" s="7" t="inlineStr">
        <is>
          <t>G2</t>
        </is>
      </c>
      <c r="B127" s="7" t="inlineStr">
        <is>
          <t>Ada kawalan berkesan terhadap sumber pencemaran di sekitar premis, seperti kemudahan pemprosesan tidak halal (termasuk unit jiran dalam bangunan yang sama), loji kumbahan dan ladang ternakan.</t>
        </is>
      </c>
      <c r="C127" s="7" t="inlineStr">
        <is>
          <t>MPPHM 17(8)(b)</t>
        </is>
      </c>
      <c r="D127" s="7" t="inlineStr"/>
      <c r="E127" s="7" t="inlineStr"/>
      <c r="F127" t="inlineStr">
        <is>
          <t>G</t>
        </is>
      </c>
    </row>
    <row r="128">
      <c r="A128" s="7" t="inlineStr">
        <is>
          <t>G3</t>
        </is>
      </c>
      <c r="B128" s="7" t="inlineStr">
        <is>
          <t>Premis berpagar atau dikawal daripada haiwan peliharaan dan haiwan liar, serangga dan perosak.</t>
        </is>
      </c>
      <c r="C128" s="7" t="inlineStr">
        <is>
          <t>MPPHM 17(8)(c)</t>
        </is>
      </c>
      <c r="D128" s="7" t="inlineStr"/>
      <c r="E128" s="7" t="inlineStr"/>
      <c r="F128" t="inlineStr">
        <is>
          <t>G</t>
        </is>
      </c>
    </row>
    <row r="129">
      <c r="A129" s="7" t="inlineStr">
        <is>
          <t>G4</t>
        </is>
      </c>
      <c r="B129" s="7" t="inlineStr">
        <is>
          <t>Kawasan sekitar premis bersih.</t>
        </is>
      </c>
      <c r="C129" s="7" t="inlineStr">
        <is>
          <t>MPPHM 17(10)(b)</t>
        </is>
      </c>
      <c r="D129" s="7" t="inlineStr"/>
      <c r="E129" s="7" t="inlineStr"/>
      <c r="F129" t="inlineStr">
        <is>
          <t>G</t>
        </is>
      </c>
    </row>
    <row r="130">
      <c r="A130" s="7" t="inlineStr">
        <is>
          <t>G5</t>
        </is>
      </c>
      <c r="B130" s="7" t="inlineStr">
        <is>
          <t>Sistem saliran bersih dan tidak tersumbat.</t>
        </is>
      </c>
      <c r="C130" s="7" t="inlineStr">
        <is>
          <t>MPPHM 17(8)(l)</t>
        </is>
      </c>
      <c r="D130" s="7" t="inlineStr"/>
      <c r="E130" s="7" t="inlineStr"/>
      <c r="F130" t="inlineStr">
        <is>
          <t>G</t>
        </is>
      </c>
    </row>
    <row r="131">
      <c r="A131" s="7" t="inlineStr">
        <is>
          <t>G6</t>
        </is>
      </c>
      <c r="B131" s="7" t="inlineStr">
        <is>
          <t>Tong sampah mencukupi, bertutup dan dalam keadaan baik (jenis injak kaki digalakkan).</t>
        </is>
      </c>
      <c r="C131" s="7" t="inlineStr">
        <is>
          <t>MPPHM 17(10)(e)</t>
        </is>
      </c>
      <c r="D131" s="7" t="inlineStr"/>
      <c r="E131" s="7" t="inlineStr"/>
      <c r="F131" t="inlineStr">
        <is>
          <t>G</t>
        </is>
      </c>
    </row>
    <row r="132">
      <c r="A132" s="7" t="inlineStr">
        <is>
          <t>G7</t>
        </is>
      </c>
      <c r="B132" s="7" t="inlineStr">
        <is>
          <t>Sisa dikumpul dan dilupuskan mengikut prosedur dan perundangan.</t>
        </is>
      </c>
      <c r="C132" s="7" t="inlineStr">
        <is>
          <t>MPPHM 17(10)(g)</t>
        </is>
      </c>
      <c r="D132" s="7" t="inlineStr"/>
      <c r="E132" s="7" t="inlineStr"/>
      <c r="F132" t="inlineStr">
        <is>
          <t>G</t>
        </is>
      </c>
    </row>
    <row r="133">
      <c r="A133" s="7" t="inlineStr">
        <is>
          <t>G8</t>
        </is>
      </c>
      <c r="B133" s="7" t="inlineStr">
        <is>
          <t>Kawalan perosak dijalankan secara berkala oleh kontraktor atau secara dalaman, dan direkodkan (pelan umpan, laporan dan tindakan).</t>
        </is>
      </c>
      <c r="C133" s="7" t="inlineStr">
        <is>
          <t>MPPHM 17(10)(c)</t>
        </is>
      </c>
      <c r="D133" s="7" t="inlineStr"/>
      <c r="E133" s="7" t="inlineStr"/>
      <c r="F133" t="inlineStr">
        <is>
          <t>G</t>
        </is>
      </c>
    </row>
    <row r="134">
      <c r="A134" s="7" t="inlineStr">
        <is>
          <t>G9</t>
        </is>
      </c>
      <c r="B134" s="7" t="inlineStr">
        <is>
          <t>Premis dalam keadaan baik, bersih dan teratur.</t>
        </is>
      </c>
      <c r="C134" s="7" t="inlineStr">
        <is>
          <t>MPPHM 17(8)(d)</t>
        </is>
      </c>
      <c r="D134" s="7" t="inlineStr"/>
      <c r="E134" s="7" t="inlineStr"/>
      <c r="F134" t="inlineStr">
        <is>
          <t>G</t>
        </is>
      </c>
    </row>
    <row r="135">
      <c r="A135" s="7" t="inlineStr">
        <is>
          <t>G10</t>
        </is>
      </c>
      <c r="B135" s="7" t="inlineStr">
        <is>
          <t>Lantai, dinding, siling, kipas, penghawa dingin, tingkap dan pintu bersih dan dalam keadaan baik.</t>
        </is>
      </c>
      <c r="C135" s="7" t="inlineStr">
        <is>
          <t>MPPHM 17(8)(e)</t>
        </is>
      </c>
      <c r="D135" s="7" t="inlineStr"/>
      <c r="E135" s="7" t="inlineStr"/>
      <c r="F135" t="inlineStr">
        <is>
          <t>G</t>
        </is>
      </c>
    </row>
    <row r="136">
      <c r="A136" s="7" t="inlineStr">
        <is>
          <t>G11</t>
        </is>
      </c>
      <c r="B136" s="7" t="inlineStr">
        <is>
          <t>Pengudaraan dan pencahayaan mencukupi.</t>
        </is>
      </c>
      <c r="C136" s="7" t="inlineStr">
        <is>
          <t>MPPHM 17(8)(g)</t>
        </is>
      </c>
      <c r="D136" s="7" t="inlineStr"/>
      <c r="E136" s="7" t="inlineStr"/>
      <c r="F136" t="inlineStr">
        <is>
          <t>G</t>
        </is>
      </c>
    </row>
    <row r="137">
      <c r="A137" s="7" t="inlineStr">
        <is>
          <t>G12</t>
        </is>
      </c>
      <c r="B137" s="7" t="inlineStr">
        <is>
          <t>Lampu di kawasan pemprosesan dalam keadaan baik, bersih dan bertutup (jika berkaitan).</t>
        </is>
      </c>
      <c r="C137" s="7" t="inlineStr">
        <is>
          <t>MPPHM 17(8)(h)</t>
        </is>
      </c>
      <c r="D137" s="7" t="inlineStr"/>
      <c r="E137" s="7" t="inlineStr"/>
      <c r="F137" t="inlineStr">
        <is>
          <t>G</t>
        </is>
      </c>
    </row>
    <row r="138">
      <c r="A138" s="7" t="inlineStr">
        <is>
          <t>G13</t>
        </is>
      </c>
      <c r="B138" s="7" t="inlineStr">
        <is>
          <t>Kawasan pemprosesan dan premis dibersihkan mengikut jadual, dan rekod pembersihan disimpan.</t>
        </is>
      </c>
      <c r="C138" s="7" t="inlineStr">
        <is>
          <t>MPPHM 17(10)(a)</t>
        </is>
      </c>
      <c r="D138" s="7" t="inlineStr"/>
      <c r="E138" s="7" t="inlineStr"/>
      <c r="F138" t="inlineStr">
        <is>
          <t>G</t>
        </is>
      </c>
    </row>
    <row r="139">
      <c r="A139" s="7" t="inlineStr">
        <is>
          <t>G14</t>
        </is>
      </c>
      <c r="B139" s="7" t="inlineStr">
        <is>
          <t>Kemudahan basuh tangan mencukupi dan berfungsi, dengan sabun serta tisu atau pengering.</t>
        </is>
      </c>
      <c r="C139" s="7" t="inlineStr">
        <is>
          <t>MPPHM 17(10)(d)</t>
        </is>
      </c>
      <c r="D139" s="7" t="inlineStr"/>
      <c r="E139" s="7" t="inlineStr"/>
      <c r="F139" t="inlineStr">
        <is>
          <t>G</t>
        </is>
      </c>
    </row>
    <row r="140">
      <c r="A140" s="7" t="inlineStr">
        <is>
          <t>G15</t>
        </is>
      </c>
      <c r="B140" s="7" t="inlineStr">
        <is>
          <t>Sabun tangan dan bahan sanitasi tangan yang digunakan pekerja, serta bahan pencuci lantai dan permukaan am premis, disahkan status halalnya.</t>
        </is>
      </c>
      <c r="C140" s="7" t="inlineStr">
        <is>
          <t>MPPHM 17(8)(a); MHMS 5(6)</t>
        </is>
      </c>
      <c r="D140" s="7" t="inlineStr"/>
      <c r="E140" s="7" t="inlineStr"/>
      <c r="F140" t="inlineStr">
        <is>
          <t>G</t>
        </is>
      </c>
    </row>
    <row r="141">
      <c r="A141" s="7" t="inlineStr">
        <is>
          <t>G16</t>
        </is>
      </c>
      <c r="B141" s="7" t="inlineStr">
        <is>
          <t>Tandas mencukupi, bersih, tidak berbau dan mempunyai prosedur pembersihan, dan tidak dibuka terus ke kawasan pemprosesan.</t>
        </is>
      </c>
      <c r="C141" s="7" t="inlineStr">
        <is>
          <t>MPPHM 17(10)(f)</t>
        </is>
      </c>
      <c r="D141" s="7" t="inlineStr"/>
      <c r="E141" s="7" t="inlineStr"/>
      <c r="F141" t="inlineStr">
        <is>
          <t>G</t>
        </is>
      </c>
    </row>
    <row r="142">
      <c r="A142" s="7" t="inlineStr">
        <is>
          <t>G17</t>
        </is>
      </c>
      <c r="B142" s="7" t="inlineStr">
        <is>
          <t>Tiada alat atau unsur penyembahan di kawasan pemprosesan.</t>
        </is>
      </c>
      <c r="C142" s="7" t="inlineStr">
        <is>
          <t>MPPHM 17(15)</t>
        </is>
      </c>
      <c r="D142" s="7" t="inlineStr"/>
      <c r="E142" s="7" t="inlineStr"/>
      <c r="F142" t="inlineStr">
        <is>
          <t>G</t>
        </is>
      </c>
    </row>
    <row r="143">
      <c r="A143" s="7" t="inlineStr">
        <is>
          <t>G18</t>
        </is>
      </c>
      <c r="B143" s="7" t="inlineStr">
        <is>
          <t>Seluruh premis bebas daripada bahan dan produk tidak halal, termasuk pejabat, bilik mesyuarat dan bilik pameran pelanggan, kantin dan tempat tinggal pekerja.</t>
        </is>
      </c>
      <c r="C143" s="7" t="inlineStr">
        <is>
          <t>MPPHM 17(8)(a)</t>
        </is>
      </c>
      <c r="D143" s="7" t="inlineStr"/>
      <c r="E143" s="7" t="inlineStr"/>
      <c r="F143" t="inlineStr">
        <is>
          <t>G</t>
        </is>
      </c>
    </row>
    <row r="144">
      <c r="A144" s="7" t="inlineStr">
        <is>
          <t>G19</t>
        </is>
      </c>
      <c r="B144" s="7" t="inlineStr">
        <is>
          <t>Ruang dalam kilang yang dikongsi dengan atau disewakan kepada pihak lain (termasuk ruang wakil pelanggan atau stor pelanggan) tidak digunakan untuk bahan atau aktiviti tidak halal.</t>
        </is>
      </c>
      <c r="C144" s="7" t="inlineStr">
        <is>
          <t>MPPHM 17(8)(a), 17(8)(b)</t>
        </is>
      </c>
      <c r="D144" s="7" t="inlineStr"/>
      <c r="E144" s="7" t="inlineStr"/>
      <c r="F144" t="inlineStr">
        <is>
          <t>G</t>
        </is>
      </c>
    </row>
    <row r="145">
      <c r="A145" s="7" t="inlineStr">
        <is>
          <t>G20</t>
        </is>
      </c>
      <c r="B145" s="7" t="inlineStr">
        <is>
          <t>Tempat tinggal pekerja tidak berada di dalam kawasan premis. Jika perlu berada di dalam kawasan premis, tempat tinggal itu berada di bangunan berasingan daripada kawasan pemprosesan; jika di bangunan yang sama, ada laluan masuk berasingan, tiada laluan terus ke kawasan pemprosesan, dan ada mekanisme kawalan keluar masuk pekerja yang berkesan.</t>
        </is>
      </c>
      <c r="C145" s="7" t="inlineStr">
        <is>
          <t>MPPHM 17(8)(k)</t>
        </is>
      </c>
      <c r="D145" s="7" t="inlineStr"/>
      <c r="E145" s="7" t="inlineStr"/>
      <c r="F145" t="inlineStr">
        <is>
          <t>G</t>
        </is>
      </c>
    </row>
    <row r="146">
      <c r="A146" s="7" t="inlineStr">
        <is>
          <t>G21</t>
        </is>
      </c>
      <c r="B146" s="7" t="inlineStr">
        <is>
          <t>Premis mematuhi perundangan berkaitan bangunan, keselamatan dan alam sekitar.</t>
        </is>
      </c>
      <c r="C146" s="7" t="inlineStr">
        <is>
          <t>MPPHM 17(8)(m)</t>
        </is>
      </c>
      <c r="D146" s="7" t="inlineStr"/>
      <c r="E146" s="7" t="inlineStr"/>
      <c r="F146" t="inlineStr">
        <is>
          <t>G</t>
        </is>
      </c>
    </row>
    <row r="147">
      <c r="A147" s="4" t="inlineStr">
        <is>
          <t>Bahagian H: Penyimpanan, Pengasingan Pelanggan, Reject &amp; Pulangan</t>
        </is>
      </c>
      <c r="B147" s="5" t="n"/>
      <c r="C147" s="5" t="n"/>
      <c r="D147" s="5" t="n"/>
      <c r="E147" s="6" t="n"/>
    </row>
    <row r="148" ht="26" customHeight="1">
      <c r="A148" s="2" t="inlineStr">
        <is>
          <t>Periksa stor bahan mentah, stor bahan pembungkusan, kawasan kuarantin, stor produk siap, kawasan reject dan pulangan, serta kontrak gudang pihak ketiga (jika ada).</t>
        </is>
      </c>
    </row>
    <row r="149">
      <c r="A149" s="7" t="inlineStr">
        <is>
          <t>H1</t>
        </is>
      </c>
      <c r="B149" s="7" t="inlineStr">
        <is>
          <t>Kawasan penyimpanan dikhaskan untuk bahan mentah dan produk halal sahaja, termasuk produk dagangan dan bahan milik pelanggan.</t>
        </is>
      </c>
      <c r="C149" s="7" t="inlineStr">
        <is>
          <t>MPPHM 17(4)(a)</t>
        </is>
      </c>
      <c r="D149" s="7" t="inlineStr"/>
      <c r="E149" s="7" t="inlineStr"/>
      <c r="F149" t="inlineStr">
        <is>
          <t>H</t>
        </is>
      </c>
    </row>
    <row r="150">
      <c r="A150" s="7" t="inlineStr">
        <is>
          <t>H2</t>
        </is>
      </c>
      <c r="B150" s="7" t="inlineStr">
        <is>
          <t>Bahan mentah, produk siap, bahan atau produk R&amp;D (termasuk sampel daripada pelanggan dan pembekal) dan item reject disimpan berasingan dan dilabel. Peralatan, bahan kimia dan barang lain yang tidak berkaitan dengan pemprosesan tidak disimpan bersama bahan mentah dan produk siap.</t>
        </is>
      </c>
      <c r="C150" s="7" t="inlineStr">
        <is>
          <t>MPPHM 17(4)(b), 17(4)(c)</t>
        </is>
      </c>
      <c r="D150" s="7" t="inlineStr"/>
      <c r="E150" s="7" t="inlineStr"/>
      <c r="F150" t="inlineStr">
        <is>
          <t>H</t>
        </is>
      </c>
    </row>
    <row r="151">
      <c r="A151" s="7" t="inlineStr">
        <is>
          <t>H3</t>
        </is>
      </c>
      <c r="B151" s="7" t="inlineStr">
        <is>
          <t>Bahan dan produk setiap pelanggan dikenal pasti dengan jelas (nama atau kod pelanggan, nama bahan, nombor lot) dan disimpan di lokasi yang ditetapkan supaya tidak tertukar antara pelanggan.</t>
        </is>
      </c>
      <c r="C151" s="7" t="inlineStr">
        <is>
          <t>MPPHM 17(4)(b), 17(4)(f)</t>
        </is>
      </c>
      <c r="D151" s="7" t="inlineStr"/>
      <c r="E151" s="7" t="inlineStr"/>
      <c r="F151" t="inlineStr">
        <is>
          <t>H</t>
        </is>
      </c>
    </row>
    <row r="152">
      <c r="A152" s="7" t="inlineStr">
        <is>
          <t>H4</t>
        </is>
      </c>
      <c r="B152" s="7" t="inlineStr">
        <is>
          <t>Status bahan dan produk ditanda dengan jelas (cth. kuarantin, lulus, ditolak).</t>
        </is>
      </c>
      <c r="C152" s="7" t="inlineStr">
        <is>
          <t>MPPHM 17(4)(f); MHMS 5(7)</t>
        </is>
      </c>
      <c r="D152" s="7" t="inlineStr"/>
      <c r="E152" s="7" t="inlineStr"/>
      <c r="F152" t="inlineStr">
        <is>
          <t>H</t>
        </is>
      </c>
    </row>
    <row r="153">
      <c r="A153" s="7" t="inlineStr">
        <is>
          <t>H5</t>
        </is>
      </c>
      <c r="B153" s="7" t="inlineStr">
        <is>
          <t>Bahan dan produk disimpan mengikut sifatnya (cth. suhu, kelembapan, bahan mudah terbakar) dan mengikut perundangan berkaitan.</t>
        </is>
      </c>
      <c r="C153" s="7" t="inlineStr">
        <is>
          <t>MPPHM 17(4)(d), 17(4)(i)</t>
        </is>
      </c>
      <c r="D153" s="7" t="inlineStr"/>
      <c r="E153" s="7" t="inlineStr"/>
      <c r="F153" t="inlineStr">
        <is>
          <t>H</t>
        </is>
      </c>
    </row>
    <row r="154">
      <c r="A154" s="7" t="inlineStr">
        <is>
          <t>H6</t>
        </is>
      </c>
      <c r="B154" s="7" t="inlineStr">
        <is>
          <t>Kawasan penyimpanan bersih dan teratur.</t>
        </is>
      </c>
      <c r="C154" s="7" t="inlineStr">
        <is>
          <t>MPPHM 17(4)(e)</t>
        </is>
      </c>
      <c r="D154" s="7" t="inlineStr"/>
      <c r="E154" s="7" t="inlineStr"/>
      <c r="F154" t="inlineStr">
        <is>
          <t>H</t>
        </is>
      </c>
    </row>
    <row r="155">
      <c r="A155" s="7" t="inlineStr">
        <is>
          <t>H7</t>
        </is>
      </c>
      <c r="B155" s="7" t="inlineStr">
        <is>
          <t>Kawasan penyimpanan mempunyai prosedur, rekod keluar-masuk yang lengkap dan penandaan yang jelas.</t>
        </is>
      </c>
      <c r="C155" s="7" t="inlineStr">
        <is>
          <t>MPPHM 17(4)(f)</t>
        </is>
      </c>
      <c r="D155" s="7" t="inlineStr"/>
      <c r="E155" s="7" t="inlineStr"/>
      <c r="F155" t="inlineStr">
        <is>
          <t>H</t>
        </is>
      </c>
    </row>
    <row r="156">
      <c r="A156" s="7" t="inlineStr">
        <is>
          <t>H8</t>
        </is>
      </c>
      <c r="B156" s="7" t="inlineStr">
        <is>
          <t>Bahan dan produk disusun di atas palet dan dikawal selia supaya mudah dibersihkan.</t>
        </is>
      </c>
      <c r="C156" s="7" t="inlineStr">
        <is>
          <t>MPPHM 17(4)(g), 17(8)(f)</t>
        </is>
      </c>
      <c r="D156" s="7" t="inlineStr"/>
      <c r="E156" s="7" t="inlineStr"/>
      <c r="F156" t="inlineStr">
        <is>
          <t>H</t>
        </is>
      </c>
    </row>
    <row r="157">
      <c r="A157" s="7" t="inlineStr">
        <is>
          <t>H9</t>
        </is>
      </c>
      <c r="B157" s="7" t="inlineStr">
        <is>
          <t>Bahan pembungkusan dan label bercetak jenama pelanggan, terutama yang mempunyai logo halal, disimpan di kawasan berkawal, diasingkan mengikut pelanggan, dan mempunyai rekod stok.</t>
        </is>
      </c>
      <c r="C157" s="7" t="inlineStr">
        <is>
          <t>MPPHM 17(4)(b), 17(4)(f)</t>
        </is>
      </c>
      <c r="D157" s="7" t="inlineStr"/>
      <c r="E157" s="7" t="inlineStr"/>
      <c r="F157" t="inlineStr">
        <is>
          <t>H</t>
        </is>
      </c>
    </row>
    <row r="158">
      <c r="A158" s="7" t="inlineStr">
        <is>
          <t>H10</t>
        </is>
      </c>
      <c r="B158" s="7" t="inlineStr">
        <is>
          <t>Bahan mentah dibekalkan pelanggan yang tidak lagi digunakan (cth. projek tamat, bahan tamat tempoh) dipulangkan atau dilupuskan dengan rekod. Bahan itu tidak digunakan untuk pelanggan lain tanpa kelulusan pemiliknya dan semakan status halal.</t>
        </is>
      </c>
      <c r="C158" s="7" t="inlineStr">
        <is>
          <t>MPPHM 17(4)(f); MHMS 7(5)(a)(ii)</t>
        </is>
      </c>
      <c r="D158" s="7" t="inlineStr"/>
      <c r="E158" s="7" t="inlineStr"/>
      <c r="F158" t="inlineStr">
        <is>
          <t>H</t>
        </is>
      </c>
    </row>
    <row r="159">
      <c r="A159" s="7" t="inlineStr">
        <is>
          <t>H11</t>
        </is>
      </c>
      <c r="B159" s="7" t="inlineStr">
        <is>
          <t>Item reject dan produk tidak akur dikenal pasti, dilabel dan diasingkan di kawasan yang ditetapkan. Keputusan pelupusan atau kerja semula direkodkan.</t>
        </is>
      </c>
      <c r="C159" s="7" t="inlineStr">
        <is>
          <t>MPPHM 17(4)(b); MHMS 5(6)</t>
        </is>
      </c>
      <c r="D159" s="7" t="inlineStr"/>
      <c r="E159" s="7" t="inlineStr"/>
      <c r="F159" t="inlineStr">
        <is>
          <t>H</t>
        </is>
      </c>
    </row>
    <row r="160">
      <c r="A160" s="7" t="inlineStr">
        <is>
          <t>H12</t>
        </is>
      </c>
      <c r="B160" s="7" t="inlineStr">
        <is>
          <t>Produk yang dipulangkan oleh pelanggan atau dari pasaran diterima di kawasan berasingan dan diperiksa. Produk itu tidak dikerja semula atau dibungkus semula kecuali status halalnya disahkan dan direkodkan.</t>
        </is>
      </c>
      <c r="C160" s="7" t="inlineStr">
        <is>
          <t>MPPHM 17(4)(b); MHMS 5(9)</t>
        </is>
      </c>
      <c r="D160" s="7" t="inlineStr"/>
      <c r="E160" s="7" t="inlineStr"/>
      <c r="F160" t="inlineStr">
        <is>
          <t>H</t>
        </is>
      </c>
    </row>
    <row r="161">
      <c r="A161" s="7" t="inlineStr">
        <is>
          <t>H13</t>
        </is>
      </c>
      <c r="B161" s="7" t="inlineStr">
        <is>
          <t>Reject atau produk pulangan yang berlabel jenama pelanggan dan Logo Halal Malaysia dilupuskan dengan cara yang menghalangnya daripada dijual semula, dan rekod pelupusan disimpan.</t>
        </is>
      </c>
      <c r="C161" s="7" t="inlineStr">
        <is>
          <t>MPPHM 17(10)(g); MHMS 5(9)</t>
        </is>
      </c>
      <c r="D161" s="7" t="inlineStr"/>
      <c r="E161" s="7" t="inlineStr"/>
      <c r="F161" t="inlineStr">
        <is>
          <t>H</t>
        </is>
      </c>
    </row>
    <row r="162">
      <c r="A162" s="7" t="inlineStr">
        <is>
          <t>H14</t>
        </is>
      </c>
      <c r="B162" s="7" t="inlineStr">
        <is>
          <t>Penyimpanan di gudang pihak ketiga (termasuk gudang pelanggan) mempunyai kontrak atau perjanjian bertulis, dan keutamaan diberikan kepada penyedia yang memegang SPHM.</t>
        </is>
      </c>
      <c r="C162" s="7" t="inlineStr">
        <is>
          <t>MPPHM 17(4)(h)</t>
        </is>
      </c>
      <c r="D162" s="7" t="inlineStr"/>
      <c r="E162" s="7" t="inlineStr"/>
      <c r="F162" t="inlineStr">
        <is>
          <t>H</t>
        </is>
      </c>
    </row>
    <row r="163">
      <c r="A163" s="4" t="inlineStr">
        <is>
          <t>Bahagian I: Pemprosesan, Kelompok Pelanggan &amp; Pertukaran Talian</t>
        </is>
      </c>
      <c r="B163" s="5" t="n"/>
      <c r="C163" s="5" t="n"/>
      <c r="D163" s="5" t="n"/>
      <c r="E163" s="6" t="n"/>
    </row>
    <row r="164" ht="26" customHeight="1">
      <c r="A164" s="2" t="inlineStr">
        <is>
          <t>Semasa pengeluaran, perhatikan kawasan penimbangan, pemprosesan, pengisian dan pembungkusan, kemudian padankan dengan rekod kelompok dan rekod pertukaran talian bagi produk pelanggan.</t>
        </is>
      </c>
    </row>
    <row r="165">
      <c r="A165" s="7" t="inlineStr">
        <is>
          <t>I1</t>
        </is>
      </c>
      <c r="B165" s="7" t="inlineStr">
        <is>
          <t>Semua aktiviti pemprosesan, termasuk perkhidmatan pengilangan untuk pelanggan, dijalankan mengikut Hukum Syarak.</t>
        </is>
      </c>
      <c r="C165" s="7" t="inlineStr">
        <is>
          <t>MPPHM 17(3)(a); Perintah Takrif Halal 2011 perenggan 3(2)</t>
        </is>
      </c>
      <c r="D165" s="7" t="inlineStr"/>
      <c r="E165" s="7" t="inlineStr"/>
      <c r="F165" t="inlineStr">
        <is>
          <t>I</t>
        </is>
      </c>
    </row>
    <row r="166">
      <c r="A166" s="7" t="inlineStr">
        <is>
          <t>I2</t>
        </is>
      </c>
      <c r="B166" s="7" t="inlineStr">
        <is>
          <t>Kawasan pemprosesan bebas daripada bahan atau produk tidak halal.</t>
        </is>
      </c>
      <c r="C166" s="7" t="inlineStr">
        <is>
          <t>MPPHM 17(3)(b)</t>
        </is>
      </c>
      <c r="D166" s="7" t="inlineStr"/>
      <c r="E166" s="7" t="inlineStr"/>
      <c r="F166" t="inlineStr">
        <is>
          <t>I</t>
        </is>
      </c>
    </row>
    <row r="167">
      <c r="A167" s="7" t="inlineStr">
        <is>
          <t>I3</t>
        </is>
      </c>
      <c r="B167" s="7" t="inlineStr">
        <is>
          <t>Kawasan pemprosesan hanya digunakan untuk memproses dan mengendalikan produk yang dipersijilkan halal. Jika digunakan untuk tujuan lain (cth. larian percubaan atau sampel produk pelanggan yang belum dipohon SPHM, atau penyimpanan sementara barang yang tidak berkaitan), mekanisme kawalan halal dilaksanakan.</t>
        </is>
      </c>
      <c r="C167" s="7" t="inlineStr">
        <is>
          <t>MPPHM 17(3)(c)</t>
        </is>
      </c>
      <c r="D167" s="7" t="inlineStr"/>
      <c r="E167" s="7" t="inlineStr"/>
      <c r="F167" t="inlineStr">
        <is>
          <t>I</t>
        </is>
      </c>
    </row>
    <row r="168">
      <c r="A168" s="7" t="inlineStr">
        <is>
          <t>I4</t>
        </is>
      </c>
      <c r="B168" s="7" t="inlineStr">
        <is>
          <t>Premis dan kawasan pemprosesan mematuhi GHP dan/atau GMP bagi jenis produk yang dikilangkan.</t>
        </is>
      </c>
      <c r="C168" s="7" t="inlineStr">
        <is>
          <t>MPPHM 17(3)(e), 17(8)(i)</t>
        </is>
      </c>
      <c r="D168" s="7" t="inlineStr"/>
      <c r="E168" s="7" t="inlineStr"/>
      <c r="F168" t="inlineStr">
        <is>
          <t>I</t>
        </is>
      </c>
    </row>
    <row r="169">
      <c r="A169" s="7" t="inlineStr">
        <is>
          <t>I5</t>
        </is>
      </c>
      <c r="B169" s="7" t="inlineStr">
        <is>
          <t>Kawasan pemprosesan bersih dan teratur.</t>
        </is>
      </c>
      <c r="C169" s="7" t="inlineStr">
        <is>
          <t>MPPHM 17(3)(f)</t>
        </is>
      </c>
      <c r="D169" s="7" t="inlineStr"/>
      <c r="E169" s="7" t="inlineStr"/>
      <c r="F169" t="inlineStr">
        <is>
          <t>I</t>
        </is>
      </c>
    </row>
    <row r="170">
      <c r="A170" s="7" t="inlineStr">
        <is>
          <t>I6</t>
        </is>
      </c>
      <c r="B170" s="7" t="inlineStr">
        <is>
          <t>Bahan kimia toksik, bahan pencuci dan peralatan yang tidak berkaitan disimpan berasingan dan dikawal.</t>
        </is>
      </c>
      <c r="C170" s="7" t="inlineStr">
        <is>
          <t>MPPHM 17(3)(g)</t>
        </is>
      </c>
      <c r="D170" s="7" t="inlineStr"/>
      <c r="E170" s="7" t="inlineStr"/>
      <c r="F170" t="inlineStr">
        <is>
          <t>I</t>
        </is>
      </c>
    </row>
    <row r="171">
      <c r="A171" s="7" t="inlineStr">
        <is>
          <t>I7</t>
        </is>
      </c>
      <c r="B171" s="7" t="inlineStr">
        <is>
          <t>Bagi setiap kelompok, hanya bahan berstatus lulus yang tersenarai dalam formulasi pelanggan yang diluluskan dikeluarkan dari stor (semak rekod pengeluaran bahan atau dispensing).</t>
        </is>
      </c>
      <c r="C171" s="7" t="inlineStr">
        <is>
          <t>MPPHM 17(2)(d); MHMS 5(6)</t>
        </is>
      </c>
      <c r="D171" s="7" t="inlineStr"/>
      <c r="E171" s="7" t="inlineStr"/>
      <c r="F171" t="inlineStr">
        <is>
          <t>I</t>
        </is>
      </c>
    </row>
    <row r="172">
      <c r="A172" s="7" t="inlineStr">
        <is>
          <t>I8</t>
        </is>
      </c>
      <c r="B172" s="7" t="inlineStr">
        <is>
          <t>Di kawasan penimbangan, bahan bagi kelompok pelanggan yang berbeza tidak bercampur. Setiap bekas bahan yang ditimbang dilabel dengan nama bahan, nombor lot dan kelompok pelanggan.</t>
        </is>
      </c>
      <c r="C172" s="7" t="inlineStr">
        <is>
          <t>MHMS 5(6), 5(9)</t>
        </is>
      </c>
      <c r="D172" s="7" t="inlineStr"/>
      <c r="E172" s="7" t="inlineStr"/>
      <c r="F172" t="inlineStr">
        <is>
          <t>I</t>
        </is>
      </c>
    </row>
    <row r="173">
      <c r="A173" s="7" t="inlineStr">
        <is>
          <t>I9</t>
        </is>
      </c>
      <c r="B173" s="7" t="inlineStr">
        <is>
          <t>Status talian dipaparkan (cth. produk, pelanggan, nombor kelompok, status bersih) supaya produk pelanggan tidak tertukar.</t>
        </is>
      </c>
      <c r="C173" s="7" t="inlineStr">
        <is>
          <t>MHMS 5(6)</t>
        </is>
      </c>
      <c r="D173" s="7" t="inlineStr"/>
      <c r="E173" s="7" t="inlineStr"/>
      <c r="F173" t="inlineStr">
        <is>
          <t>I</t>
        </is>
      </c>
    </row>
    <row r="174">
      <c r="A174" s="7" t="inlineStr">
        <is>
          <t>I10</t>
        </is>
      </c>
      <c r="B174" s="7" t="inlineStr">
        <is>
          <t>Proses pengeluaran produk pelanggan konsisten dengan rekod pemprosesan terkini (cth. carta alir dan langkah proses yang dikemas kini).</t>
        </is>
      </c>
      <c r="C174" s="7" t="inlineStr">
        <is>
          <t>MPPHM 17(2)(d)</t>
        </is>
      </c>
      <c r="D174" s="7" t="inlineStr"/>
      <c r="E174" s="7" t="inlineStr"/>
      <c r="F174" t="inlineStr">
        <is>
          <t>I</t>
        </is>
      </c>
    </row>
    <row r="175">
      <c r="A175" s="7" t="inlineStr">
        <is>
          <t>I11</t>
        </is>
      </c>
      <c r="B175" s="7" t="inlineStr">
        <is>
          <t>Pertukaran talian (changeover) antara produk atau pelanggan mengikut prosedur bertulis. Talian dibersihkan, semua baki bahan, label dan bahan pembungkusan kelompok sebelumnya dialihkan, dan pelepasan talian diperiksa serta direkodkan sebelum kelompok seterusnya bermula.</t>
        </is>
      </c>
      <c r="C175" s="7" t="inlineStr">
        <is>
          <t>MPPHM 17(5)(e); MHMS 5(6)</t>
        </is>
      </c>
      <c r="D175" s="7" t="inlineStr"/>
      <c r="E175" s="7" t="inlineStr"/>
      <c r="F175" t="inlineStr">
        <is>
          <t>I</t>
        </is>
      </c>
    </row>
    <row r="176">
      <c r="A176" s="7" t="inlineStr">
        <is>
          <t>I12</t>
        </is>
      </c>
      <c r="B176" s="7" t="inlineStr">
        <is>
          <t>Kerja semula (rework) dan penggunaan baki bahan atau produk separa siap hanya melibatkan bahan yang status halalnya diketahui, dan direkodkan. Baki daripada kelompok seorang pelanggan tidak dicampurkan ke dalam produk pelanggan lain tanpa kelulusan.</t>
        </is>
      </c>
      <c r="C176" s="7" t="inlineStr">
        <is>
          <t>MPPHM 17(2)(d); MHMS 5(6)</t>
        </is>
      </c>
      <c r="D176" s="7" t="inlineStr"/>
      <c r="E176" s="7" t="inlineStr"/>
      <c r="F176" t="inlineStr">
        <is>
          <t>I</t>
        </is>
      </c>
    </row>
    <row r="177">
      <c r="A177" s="7" t="inlineStr">
        <is>
          <t>I13</t>
        </is>
      </c>
      <c r="B177" s="7" t="inlineStr">
        <is>
          <t>Berat atau isipadu produk yang diisi memenuhi kandungan bersih pada label pelanggan, dan rekod semakannya disimpan.</t>
        </is>
      </c>
      <c r="C177" s="7" t="inlineStr">
        <is>
          <t>MPPHM 17(2)(f)</t>
        </is>
      </c>
      <c r="D177" s="7" t="inlineStr"/>
      <c r="E177" s="7" t="inlineStr"/>
      <c r="F177" t="inlineStr">
        <is>
          <t>I</t>
        </is>
      </c>
    </row>
    <row r="178">
      <c r="A178" s="7" t="inlineStr">
        <is>
          <t>I14</t>
        </is>
      </c>
      <c r="B178" s="7" t="inlineStr">
        <is>
          <t>Rekod kelompok bagi setiap pengeluaran pelanggan mencatatkan nombor lot setiap bahan (termasuk bahan yang dibekalkan pelanggan), talian atau peralatan yang digunakan, tarikh, kuantiti dan pelepasan kelompok.</t>
        </is>
      </c>
      <c r="C178" s="7" t="inlineStr">
        <is>
          <t>MPPHM 17(2)(d); MHMS 5(9)</t>
        </is>
      </c>
      <c r="D178" s="7" t="inlineStr"/>
      <c r="E178" s="7" t="inlineStr"/>
      <c r="F178" t="inlineStr">
        <is>
          <t>I</t>
        </is>
      </c>
    </row>
    <row r="179">
      <c r="A179" s="4" t="inlineStr">
        <is>
          <t>Bahagian J: Peralatan, Pembersihan &amp; Sertu</t>
        </is>
      </c>
      <c r="B179" s="5" t="n"/>
      <c r="C179" s="5" t="n"/>
      <c r="D179" s="5" t="n"/>
      <c r="E179" s="6" t="n"/>
    </row>
    <row r="180" ht="26" customHeight="1">
      <c r="A180" s="2" t="inlineStr">
        <is>
          <t>Periksa mesin dan peralatan di setiap talian, acuan dan alat milik pelanggan, bahan pencuci dan pelincir, serta rekod pembersihan, penyelenggaraan dan sertu.</t>
        </is>
      </c>
    </row>
    <row r="181">
      <c r="A181" s="7" t="inlineStr">
        <is>
          <t>J1</t>
        </is>
      </c>
      <c r="B181" s="7" t="inlineStr">
        <is>
          <t>Peralatan dan perkakas digunakan untuk bahan dan produk halal sahaja.</t>
        </is>
      </c>
      <c r="C181" s="7" t="inlineStr">
        <is>
          <t>MPPHM 17(5)(a)</t>
        </is>
      </c>
      <c r="D181" s="7" t="inlineStr"/>
      <c r="E181" s="7" t="inlineStr"/>
      <c r="F181" t="inlineStr">
        <is>
          <t>J</t>
        </is>
      </c>
    </row>
    <row r="182">
      <c r="A182" s="7" t="inlineStr">
        <is>
          <t>J2</t>
        </is>
      </c>
      <c r="B182" s="7" t="inlineStr">
        <is>
          <t>Tiada peralatan yang berimplikasi negatif (cth. berlabel atau berkaitan dengan arak).</t>
        </is>
      </c>
      <c r="C182" s="7" t="inlineStr">
        <is>
          <t>MPPHM 17(5)(b)</t>
        </is>
      </c>
      <c r="D182" s="7" t="inlineStr"/>
      <c r="E182" s="7" t="inlineStr"/>
      <c r="F182" t="inlineStr">
        <is>
          <t>J</t>
        </is>
      </c>
    </row>
    <row r="183">
      <c r="A183" s="7" t="inlineStr">
        <is>
          <t>J3</t>
        </is>
      </c>
      <c r="B183" s="7" t="inlineStr">
        <is>
          <t>Peralatan bersumber haiwan (cth. berus bulu, penapis, alat daripada tulang) hanya digunakan jika status halalnya telah disahkan.</t>
        </is>
      </c>
      <c r="C183" s="7" t="inlineStr">
        <is>
          <t>MPPHM 17(5)(c)</t>
        </is>
      </c>
      <c r="D183" s="7" t="inlineStr"/>
      <c r="E183" s="7" t="inlineStr"/>
      <c r="F183" t="inlineStr">
        <is>
          <t>J</t>
        </is>
      </c>
    </row>
    <row r="184">
      <c r="A184" s="7" t="inlineStr">
        <is>
          <t>J4</t>
        </is>
      </c>
      <c r="B184" s="7" t="inlineStr">
        <is>
          <t>Peralatan dalam keadaan baik dan bersih, bebas najis, tidak toksik dan tidak berkarat, serta tidak memberi kesan sampingan kepada produk.</t>
        </is>
      </c>
      <c r="C184" s="7" t="inlineStr">
        <is>
          <t>MPPHM 17(5)(d)</t>
        </is>
      </c>
      <c r="D184" s="7" t="inlineStr"/>
      <c r="E184" s="7" t="inlineStr"/>
      <c r="F184" t="inlineStr">
        <is>
          <t>J</t>
        </is>
      </c>
    </row>
    <row r="185">
      <c r="A185" s="7" t="inlineStr">
        <is>
          <t>J5</t>
        </is>
      </c>
      <c r="B185" s="7" t="inlineStr">
        <is>
          <t>Peralatan sesuai dengan kegunaannya dan mematuhi perundangan berkaitan.</t>
        </is>
      </c>
      <c r="C185" s="7" t="inlineStr">
        <is>
          <t>MPPHM 17(5)(g)</t>
        </is>
      </c>
      <c r="D185" s="7" t="inlineStr"/>
      <c r="E185" s="7" t="inlineStr"/>
      <c r="F185" t="inlineStr">
        <is>
          <t>J</t>
        </is>
      </c>
    </row>
    <row r="186">
      <c r="A186" s="7" t="inlineStr">
        <is>
          <t>J6</t>
        </is>
      </c>
      <c r="B186" s="7" t="inlineStr">
        <is>
          <t>Prosedur dan jadual pembersihan serta penyelenggaraan berkala peralatan dilaksanakan dan direkodkan.</t>
        </is>
      </c>
      <c r="C186" s="7" t="inlineStr">
        <is>
          <t>MPPHM 17(5)(e)</t>
        </is>
      </c>
      <c r="D186" s="7" t="inlineStr"/>
      <c r="E186" s="7" t="inlineStr"/>
      <c r="F186" t="inlineStr">
        <is>
          <t>J</t>
        </is>
      </c>
    </row>
    <row r="187">
      <c r="A187" s="7" t="inlineStr">
        <is>
          <t>J7</t>
        </is>
      </c>
      <c r="B187" s="7" t="inlineStr">
        <is>
          <t>Bahan pencuci, bahan sanitasi dan pelincir yang digunakan pada peralatan yang bersentuhan dengan produk disahkan status halalnya dan tidak meninggalkan sisa pada permukaan sentuhan produk.</t>
        </is>
      </c>
      <c r="C187" s="7" t="inlineStr">
        <is>
          <t>MPPHM 17(1)(a), 17(5)(d); MHMS 5(7)</t>
        </is>
      </c>
      <c r="D187" s="7" t="inlineStr"/>
      <c r="E187" s="7" t="inlineStr"/>
      <c r="F187" t="inlineStr">
        <is>
          <t>J</t>
        </is>
      </c>
    </row>
    <row r="188">
      <c r="A188" s="7" t="inlineStr">
        <is>
          <t>J8</t>
        </is>
      </c>
      <c r="B188" s="7" t="inlineStr">
        <is>
          <t>Peralatan yang rosak atau tidak digunakan dikenal pasti, dan dialihkan atau diasingkan.</t>
        </is>
      </c>
      <c r="C188" s="7" t="inlineStr">
        <is>
          <t>MPPHM 17(5)(f)</t>
        </is>
      </c>
      <c r="D188" s="7" t="inlineStr"/>
      <c r="E188" s="7" t="inlineStr"/>
      <c r="F188" t="inlineStr">
        <is>
          <t>J</t>
        </is>
      </c>
    </row>
    <row r="189">
      <c r="A189" s="7" t="inlineStr">
        <is>
          <t>J9</t>
        </is>
      </c>
      <c r="B189" s="7" t="inlineStr">
        <is>
          <t>Acuan, muncung pengisian dan peralatan lain yang dibekalkan atau dipinjam daripada pelanggan atau kilang lain disahkan bersih, bebas najis dan halal statusnya sebelum digunakan, dan direkodkan.</t>
        </is>
      </c>
      <c r="C189" s="7" t="inlineStr">
        <is>
          <t>MPPHM 17(5)(c), 17(5)(d)</t>
        </is>
      </c>
      <c r="D189" s="7" t="inlineStr"/>
      <c r="E189" s="7" t="inlineStr"/>
      <c r="F189" t="inlineStr">
        <is>
          <t>J</t>
        </is>
      </c>
    </row>
    <row r="190">
      <c r="A190" s="7" t="inlineStr">
        <is>
          <t>J10</t>
        </is>
      </c>
      <c r="B190" s="7" t="inlineStr">
        <is>
          <t>Sejarah penggunaan peralatan terpakai yang dibeli atau dipindahkan dari kilang lain disahkan. Jika peralatan itu pernah digunakan untuk bahan najis mughallazah, sertu dijalankan sebelum digunakan.</t>
        </is>
      </c>
      <c r="C190" s="7" t="inlineStr">
        <is>
          <t>MPPHM 17(5)(h); MHMS 5(12)</t>
        </is>
      </c>
      <c r="D190" s="7" t="inlineStr"/>
      <c r="E190" s="7" t="inlineStr"/>
      <c r="F190" t="inlineStr">
        <is>
          <t>J</t>
        </is>
      </c>
    </row>
    <row r="191">
      <c r="A191" s="7" t="inlineStr">
        <is>
          <t>J11</t>
        </is>
      </c>
      <c r="B191" s="7" t="inlineStr">
        <is>
          <t>Sertu dijalankan mengikut prosedur ke atas peralatan, kawasan premis, stor atau kenderaan yang tercemar najis mughallazah, dan rekod sertu disimpan.</t>
        </is>
      </c>
      <c r="C191" s="7" t="inlineStr">
        <is>
          <t>MPPHM 17(4)(j), 17(5)(h), 17(7)(f), 17(8)(n); MHMS 5(12)</t>
        </is>
      </c>
      <c r="D191" s="7" t="inlineStr"/>
      <c r="E191" s="7" t="inlineStr"/>
      <c r="F191" t="inlineStr">
        <is>
          <t>J</t>
        </is>
      </c>
    </row>
    <row r="192">
      <c r="A192" s="7" t="inlineStr">
        <is>
          <t>J12</t>
        </is>
      </c>
      <c r="B192" s="7" t="inlineStr">
        <is>
          <t>Jika bahan pelanggan didapati mengandungi bahan najis mughallazah selepas digunakan: pengeluaran dihentikan, produk yang terjejas dikuarantin dan ditarik balik jika perlu, sertu dijalankan pada talian dan peralatan terlibat, dan pelanggan dimaklumkan.</t>
        </is>
      </c>
      <c r="C192" s="7" t="inlineStr">
        <is>
          <t>MHMS 5(9), 5(12); MPPHM 17(5)(h)</t>
        </is>
      </c>
      <c r="D192" s="7" t="inlineStr"/>
      <c r="E192" s="7" t="inlineStr"/>
      <c r="F192" t="inlineStr">
        <is>
          <t>J</t>
        </is>
      </c>
    </row>
    <row r="193">
      <c r="A193" s="7" t="inlineStr">
        <is>
          <t>J13</t>
        </is>
      </c>
      <c r="B193" s="7" t="inlineStr">
        <is>
          <t>Pekerja yang menjalankan sertu memahami kaedahnya, iaitu basuhan sebanyak 7 kali dengan basuhan pertama menggunakan air bercampur tanah.</t>
        </is>
      </c>
      <c r="C193" s="7" t="inlineStr">
        <is>
          <t>MPPHM 3 (tafsiran sertu)</t>
        </is>
      </c>
      <c r="D193" s="7" t="inlineStr"/>
      <c r="E193" s="7" t="inlineStr"/>
      <c r="F193" t="inlineStr">
        <is>
          <t>J</t>
        </is>
      </c>
    </row>
    <row r="194">
      <c r="A194" s="4" t="inlineStr">
        <is>
          <t>Bahagian K: Pembungkusan, Pelabelan, Logo Halal &amp; Paparan Sijil</t>
        </is>
      </c>
      <c r="B194" s="5" t="n"/>
      <c r="C194" s="5" t="n"/>
      <c r="D194" s="5" t="n"/>
      <c r="E194" s="6" t="n"/>
    </row>
    <row r="195" ht="26" customHeight="1">
      <c r="A195" s="2" t="inlineStr">
        <is>
          <t>Semak rekod kelulusan reka bentuk label pelanggan, kemudian periksa label dan bungkusan di talian dan pada produk siap, kawalan bahan bercetak berlogo halal, paparan sijil dan bahan pemasaran kilang.</t>
        </is>
      </c>
    </row>
    <row r="196">
      <c r="A196" s="7" t="inlineStr">
        <is>
          <t>K1</t>
        </is>
      </c>
      <c r="B196" s="7" t="inlineStr">
        <is>
          <t>Prosedur kelulusan reka bentuk label (artwork) pelanggan dilaksanakan. Setiap reka bentuk baharu atau yang dipinda disemak oleh Eksekutif Halal atau Penyelia Halal sebelum dicetak atau digunakan, dan rekod kelulusan disimpan.</t>
        </is>
      </c>
      <c r="C196" s="7" t="inlineStr">
        <is>
          <t>MHMS 5(6); MPPHM 17(6)(e)</t>
        </is>
      </c>
      <c r="D196" s="7" t="inlineStr"/>
      <c r="E196" s="7" t="inlineStr"/>
      <c r="F196" t="inlineStr">
        <is>
          <t>K</t>
        </is>
      </c>
    </row>
    <row r="197">
      <c r="A197" s="7" t="inlineStr">
        <is>
          <t>K2</t>
        </is>
      </c>
      <c r="B197" s="7" t="inlineStr">
        <is>
          <t>Nama produk pada label pelanggan sama dengan nama yang diisytiharkan dalam MYeHALAL.</t>
        </is>
      </c>
      <c r="C197" s="7" t="inlineStr">
        <is>
          <t>MPPHM 17(2)(c), 17(6)(e)</t>
        </is>
      </c>
      <c r="D197" s="7" t="inlineStr"/>
      <c r="E197" s="7" t="inlineStr"/>
      <c r="F197" t="inlineStr">
        <is>
          <t>K</t>
        </is>
      </c>
    </row>
    <row r="198">
      <c r="A198" s="7" t="inlineStr">
        <is>
          <t>K3</t>
        </is>
      </c>
      <c r="B198" s="7" t="inlineStr">
        <is>
          <t>Label memaparkan nama produk, nama dan alamat pemegang SPHM bagi produk itu, dan Logo Halal Malaysia berserta nombor MS dan 10 angka terakhir nombor rujukan fail.</t>
        </is>
      </c>
      <c r="C198" s="7" t="inlineStr">
        <is>
          <t>MPPHM 17(6)(j)</t>
        </is>
      </c>
      <c r="D198" s="7" t="inlineStr"/>
      <c r="E198" s="7" t="inlineStr"/>
      <c r="F198" t="inlineStr">
        <is>
          <t>K</t>
        </is>
      </c>
    </row>
    <row r="199">
      <c r="A199" s="7" t="inlineStr">
        <is>
          <t>K4</t>
        </is>
      </c>
      <c r="B199" s="7" t="inlineStr">
        <is>
          <t>Logo Halal Malaysia hanya dicetak atau dilekatkan pada produk pelanggan yang diliputi SPHM yang sah, dan nombor rujukan fail pada logo ialah nombor SPHM yang meliputi produk itu. Logo tidak digunakan bagi produk yang belum diluluskan, produk yang formulasinya diubah tanpa kelulusan, atau produk yang SPHM-nya telah tamat, digantung atau dibatalkan.</t>
        </is>
      </c>
      <c r="C199" s="7" t="inlineStr">
        <is>
          <t>MPPHM 17(6)(j), 41; Perintah Perakuan dan Penandaan Halal 2011 perenggan 4(1)</t>
        </is>
      </c>
      <c r="D199" s="7" t="inlineStr"/>
      <c r="E199" s="7" t="inlineStr"/>
      <c r="F199" t="inlineStr">
        <is>
          <t>K</t>
        </is>
      </c>
    </row>
    <row r="200">
      <c r="A200" s="7" t="inlineStr">
        <is>
          <t>K5</t>
        </is>
      </c>
      <c r="B200" s="7" t="inlineStr">
        <is>
          <t>Nombor MS pada logo sepadan dengan standard halal bagi jenis produk itu (cth. MS 1500:2019 bagi makanan, MS 2634:2019 bagi kosmetik).</t>
        </is>
      </c>
      <c r="C200" s="7" t="inlineStr">
        <is>
          <t>MPPHM 17(6)(j); MS mengikut jenis produk</t>
        </is>
      </c>
      <c r="D200" s="7" t="inlineStr"/>
      <c r="E200" s="7" t="inlineStr"/>
      <c r="F200" t="inlineStr">
        <is>
          <t>K</t>
        </is>
      </c>
    </row>
    <row r="201">
      <c r="A201" s="7" t="inlineStr">
        <is>
          <t>K6</t>
        </is>
      </c>
      <c r="B201" s="7" t="inlineStr">
        <is>
          <t>Bentuk dan ciri-ciri Logo Halal Malaysia tidak diubah, dan logo dilekatkan pada produk itu sendiri atau pada bungkusannya.</t>
        </is>
      </c>
      <c r="C201" s="7" t="inlineStr">
        <is>
          <t>MPPHM 40, 41; Perintah Perakuan dan Penandaan Halal 2011 perenggan 6</t>
        </is>
      </c>
      <c r="D201" s="7" t="inlineStr"/>
      <c r="E201" s="7" t="inlineStr"/>
      <c r="F201" t="inlineStr">
        <is>
          <t>K</t>
        </is>
      </c>
    </row>
    <row r="202">
      <c r="A202" s="7" t="inlineStr">
        <is>
          <t>K7</t>
        </is>
      </c>
      <c r="B202" s="7" t="inlineStr">
        <is>
          <t>Label pelanggan tidak memaparkan perkataan atau tanda halal lain (cth. 'halal', 'ditanggung halal', 'produk Muslim', atau logo badan yang tidak diiktiraf) selain Logo Halal Malaysia yang dibenarkan.</t>
        </is>
      </c>
      <c r="C202" s="7" t="inlineStr">
        <is>
          <t>Perintah Perakuan dan Penandaan Halal 2011 perenggan 4(1); Perintah Takrif Halal 2011 perenggan 4(1)</t>
        </is>
      </c>
      <c r="D202" s="7" t="inlineStr"/>
      <c r="E202" s="7" t="inlineStr"/>
      <c r="F202" t="inlineStr">
        <is>
          <t>K</t>
        </is>
      </c>
    </row>
    <row r="203">
      <c r="A203" s="7" t="inlineStr">
        <is>
          <t>K8</t>
        </is>
      </c>
      <c r="B203" s="7" t="inlineStr">
        <is>
          <t>Pembungkusan, pelabelan dan pengiklanan tidak melanggar prinsip Hukum Syarak dan tidak menggunakan istilah atau unsur keagamaan (cth. nama Allah, ayat al-Quran, makanan sunnah, nama dewa).</t>
        </is>
      </c>
      <c r="C203" s="7" t="inlineStr">
        <is>
          <t>MPPHM 17(6)(b), 17(6)(c); Perintah Takrif Halal 2011 perenggan 4(2)</t>
        </is>
      </c>
      <c r="D203" s="7" t="inlineStr"/>
      <c r="E203" s="7" t="inlineStr"/>
      <c r="F203" t="inlineStr">
        <is>
          <t>K</t>
        </is>
      </c>
    </row>
    <row r="204">
      <c r="A204" s="7" t="inlineStr">
        <is>
          <t>K9</t>
        </is>
      </c>
      <c r="B204" s="7" t="inlineStr">
        <is>
          <t>Label dan bungkusan tidak mempunyai rajah atau ilustrasi haiwan najis mughallazah atau unsur negatif.</t>
        </is>
      </c>
      <c r="C204" s="7" t="inlineStr">
        <is>
          <t>MPPHM 17(6)(d)</t>
        </is>
      </c>
      <c r="D204" s="7" t="inlineStr"/>
      <c r="E204" s="7" t="inlineStr"/>
      <c r="F204" t="inlineStr">
        <is>
          <t>K</t>
        </is>
      </c>
    </row>
    <row r="205">
      <c r="A205" s="7" t="inlineStr">
        <is>
          <t>K10</t>
        </is>
      </c>
      <c r="B205" s="7" t="inlineStr">
        <is>
          <t>Label dicetak dengan terang dan jelas serta tidak mudah dipadam.</t>
        </is>
      </c>
      <c r="C205" s="7" t="inlineStr">
        <is>
          <t>MPPHM 17(6)(f)</t>
        </is>
      </c>
      <c r="D205" s="7" t="inlineStr"/>
      <c r="E205" s="7" t="inlineStr"/>
      <c r="F205" t="inlineStr">
        <is>
          <t>K</t>
        </is>
      </c>
    </row>
    <row r="206">
      <c r="A206" s="7" t="inlineStr">
        <is>
          <t>K11</t>
        </is>
      </c>
      <c r="B206" s="7" t="inlineStr">
        <is>
          <t>Tuntutan pada label (cth. tuntutan kesihatan, 'bebas alkohol') mematuhi perundangan dan peraturan pihak berkuasa, dan pembungkusan serta pelabelan mematuhi standard dan perundangan bagi jenis produk itu.</t>
        </is>
      </c>
      <c r="C206" s="7" t="inlineStr">
        <is>
          <t>MPPHM 17(6)(g), 17(6)(h)</t>
        </is>
      </c>
      <c r="D206" s="7" t="inlineStr"/>
      <c r="E206" s="7" t="inlineStr"/>
      <c r="F206" t="inlineStr">
        <is>
          <t>K</t>
        </is>
      </c>
    </row>
    <row r="207">
      <c r="A207" s="7" t="inlineStr">
        <is>
          <t>K12</t>
        </is>
      </c>
      <c r="B207" s="7" t="inlineStr">
        <is>
          <t>Produk yang diproses dan dibungkus di Malaysia dilabel dalam Bahasa Melayu. Terjemahan dalam bahasa lain dibenarkan.</t>
        </is>
      </c>
      <c r="C207" s="7" t="inlineStr">
        <is>
          <t>MPPHM 17(6)(i)</t>
        </is>
      </c>
      <c r="D207" s="7" t="inlineStr"/>
      <c r="E207" s="7" t="inlineStr"/>
      <c r="F207" t="inlineStr">
        <is>
          <t>K</t>
        </is>
      </c>
    </row>
    <row r="208">
      <c r="A208" s="7" t="inlineStr">
        <is>
          <t>K13</t>
        </is>
      </c>
      <c r="B208" s="7" t="inlineStr">
        <is>
          <t>OEM makanan &amp; minuman: label mengandungi butiran wajib PM 1985, termasuk nama dan alamat perniagaan pengilang, pembungkus atau pemilik hak pengilangan; pernyataan kehadiran daging lembu atau derivatifnya; dan nama haiwan sumber lemak atau minyak (jika berkaitan).</t>
        </is>
      </c>
      <c r="C208" s="7" t="inlineStr">
        <is>
          <t>PM 1985 per. 11(1)</t>
        </is>
      </c>
      <c r="D208" s="7" t="inlineStr"/>
      <c r="E208" s="7" t="inlineStr"/>
      <c r="F208" t="inlineStr">
        <is>
          <t>K</t>
        </is>
      </c>
    </row>
    <row r="209">
      <c r="A209" s="7" t="inlineStr">
        <is>
          <t>K14</t>
        </is>
      </c>
      <c r="B209" s="7" t="inlineStr">
        <is>
          <t>Bahan pembungkusan dan label bercetak berlogo halal dikawal. Kuantiti yang dikeluarkan ke talian direkonsiliasi selepas setiap kelompok, dan stok yang usang atau rosak, atau milik pelanggan yang kontraknya telah tamat, dimusnahkan atau dipulangkan dengan rekod.</t>
        </is>
      </c>
      <c r="C209" s="7" t="inlineStr">
        <is>
          <t>MHMS 5(6); MPPHM 17(4)(f)</t>
        </is>
      </c>
      <c r="D209" s="7" t="inlineStr"/>
      <c r="E209" s="7" t="inlineStr"/>
      <c r="F209" t="inlineStr">
        <is>
          <t>K</t>
        </is>
      </c>
    </row>
    <row r="210">
      <c r="A210" s="7" t="inlineStr">
        <is>
          <t>K15</t>
        </is>
      </c>
      <c r="B210" s="7" t="inlineStr">
        <is>
          <t>Sijil SPHM skim OEM yang sah dipamerkan di premis. Sijil itu tidak dipinda, dipinjamkan atau digunakan di luar skop yang diluluskan.</t>
        </is>
      </c>
      <c r="C210" s="7" t="inlineStr">
        <is>
          <t>MPPHM 36</t>
        </is>
      </c>
      <c r="D210" s="7" t="inlineStr"/>
      <c r="E210" s="7" t="inlineStr"/>
      <c r="F210" t="inlineStr">
        <is>
          <t>K</t>
        </is>
      </c>
    </row>
    <row r="211">
      <c r="A211" s="7" t="inlineStr">
        <is>
          <t>K16</t>
        </is>
      </c>
      <c r="B211" s="7" t="inlineStr">
        <is>
          <t>Laman web, brosur, sebut harga dan bahan pemasaran kilang hanya menyatakan perkhidmatan pengilangan 'halal' berdasarkan SPHM skim OEM yang sah, dan tidak membayangkan bahawa produk pelanggan halal di luar skop SPHM.</t>
        </is>
      </c>
      <c r="C211" s="7" t="inlineStr">
        <is>
          <t>Perintah Perakuan dan Penandaan Halal 2011 perenggan 2, 4(2); MPPHM 17(17)(a)</t>
        </is>
      </c>
      <c r="D211" s="7" t="inlineStr"/>
      <c r="E211" s="7" t="inlineStr"/>
      <c r="F211" t="inlineStr">
        <is>
          <t>K</t>
        </is>
      </c>
    </row>
    <row r="212">
      <c r="A212" s="4" t="inlineStr">
        <is>
          <t>Bahagian L: Pengangkutan &amp; Penghantaran</t>
        </is>
      </c>
      <c r="B212" s="5" t="n"/>
      <c r="C212" s="5" t="n"/>
      <c r="D212" s="5" t="n"/>
      <c r="E212" s="6" t="n"/>
    </row>
    <row r="213" ht="26" customHeight="1">
      <c r="A213" s="2" t="inlineStr">
        <is>
          <t>Periksa kenderaan, kontrak pengangkutan dan dokumen penghantaran bagi bahan masuk dan produk siap, termasuk kenderaan pelanggan yang mengambil produk di kilang.</t>
        </is>
      </c>
    </row>
    <row r="214">
      <c r="A214" s="7" t="inlineStr">
        <is>
          <t>L1</t>
        </is>
      </c>
      <c r="B214" s="7" t="inlineStr">
        <is>
          <t>Pengangkutan digunakan untuk bahan mentah dan produk halal sahaja.</t>
        </is>
      </c>
      <c r="C214" s="7" t="inlineStr">
        <is>
          <t>MPPHM 17(7)(a)</t>
        </is>
      </c>
      <c r="D214" s="7" t="inlineStr"/>
      <c r="E214" s="7" t="inlineStr"/>
      <c r="F214" t="inlineStr">
        <is>
          <t>L</t>
        </is>
      </c>
    </row>
    <row r="215">
      <c r="A215" s="7" t="inlineStr">
        <is>
          <t>L2</t>
        </is>
      </c>
      <c r="B215" s="7" t="inlineStr">
        <is>
          <t>Jenis pengangkutan sesuai dengan sifat bahan dan produk (cth. suhu terkawal) dan mematuhi perundangan berkaitan.</t>
        </is>
      </c>
      <c r="C215" s="7" t="inlineStr">
        <is>
          <t>MPPHM 17(7)(b), 17(7)(e)</t>
        </is>
      </c>
      <c r="D215" s="7" t="inlineStr"/>
      <c r="E215" s="7" t="inlineStr"/>
      <c r="F215" t="inlineStr">
        <is>
          <t>L</t>
        </is>
      </c>
    </row>
    <row r="216">
      <c r="A216" s="7" t="inlineStr">
        <is>
          <t>L3</t>
        </is>
      </c>
      <c r="B216" s="7" t="inlineStr">
        <is>
          <t>Kenderaan dan bekas pengangkutan bersih dan terkawal pada setiap masa.</t>
        </is>
      </c>
      <c r="C216" s="7" t="inlineStr">
        <is>
          <t>MPPHM 17(7)(c)</t>
        </is>
      </c>
      <c r="D216" s="7" t="inlineStr"/>
      <c r="E216" s="7" t="inlineStr"/>
      <c r="F216" t="inlineStr">
        <is>
          <t>L</t>
        </is>
      </c>
    </row>
    <row r="217">
      <c r="A217" s="7" t="inlineStr">
        <is>
          <t>L4</t>
        </is>
      </c>
      <c r="B217" s="7" t="inlineStr">
        <is>
          <t>Pengangkutan oleh pihak ketiga mempunyai kontrak atau perjanjian bertulis, dan keutamaan diberikan kepada penyedia logistik yang memegang SPHM.</t>
        </is>
      </c>
      <c r="C217" s="7" t="inlineStr">
        <is>
          <t>MPPHM 17(7)(d); MHMS 5(6)</t>
        </is>
      </c>
      <c r="D217" s="7" t="inlineStr"/>
      <c r="E217" s="7" t="inlineStr"/>
      <c r="F217" t="inlineStr">
        <is>
          <t>L</t>
        </is>
      </c>
    </row>
    <row r="218">
      <c r="A218" s="7" t="inlineStr">
        <is>
          <t>L5</t>
        </is>
      </c>
      <c r="B218" s="7" t="inlineStr">
        <is>
          <t>Bahan yang dibekalkan pelanggan diterima daripada kenderaan yang bersih dan terkawal. Muatan yang bercampur dengan bahan tidak halal ditolak.</t>
        </is>
      </c>
      <c r="C218" s="7" t="inlineStr">
        <is>
          <t>MPPHM 17(7)(c); MHMS 7(5)(a)(ii)</t>
        </is>
      </c>
      <c r="D218" s="7" t="inlineStr"/>
      <c r="E218" s="7" t="inlineStr"/>
      <c r="F218" t="inlineStr">
        <is>
          <t>L</t>
        </is>
      </c>
    </row>
    <row r="219">
      <c r="A219" s="7" t="inlineStr">
        <is>
          <t>L6</t>
        </is>
      </c>
      <c r="B219" s="7" t="inlineStr">
        <is>
          <t>Kenderaan pelanggan, atau pengangkut yang dilantik pelanggan, yang mengambil produk di kilang diperiksa kebersihannya dan dipastikan tiada bahan tidak halal sebelum dimuatkan. Pemeriksaan ini direkodkan.</t>
        </is>
      </c>
      <c r="C219" s="7" t="inlineStr">
        <is>
          <t>MPPHM 17(7)(a), 17(7)(c)</t>
        </is>
      </c>
      <c r="D219" s="7" t="inlineStr"/>
      <c r="E219" s="7" t="inlineStr"/>
      <c r="F219" t="inlineStr">
        <is>
          <t>L</t>
        </is>
      </c>
    </row>
    <row r="220">
      <c r="A220" s="7" t="inlineStr">
        <is>
          <t>L7</t>
        </is>
      </c>
      <c r="B220" s="7" t="inlineStr">
        <is>
          <t>Produk siap dimuatkan dan didokumenkan (nota hantaran) mengikut pelanggan dan nombor kelompok.</t>
        </is>
      </c>
      <c r="C220" s="7" t="inlineStr">
        <is>
          <t>MHMS 5(9)</t>
        </is>
      </c>
      <c r="D220" s="7" t="inlineStr"/>
      <c r="E220" s="7" t="inlineStr"/>
      <c r="F220" t="inlineStr">
        <is>
          <t>L</t>
        </is>
      </c>
    </row>
    <row r="221">
      <c r="A221" s="4" t="inlineStr">
        <is>
          <t>Bahagian M: Pekerja, Latihan &amp; Kemudahan Pekerja</t>
        </is>
      </c>
      <c r="B221" s="5" t="n"/>
      <c r="C221" s="5" t="n"/>
      <c r="D221" s="5" t="n"/>
      <c r="E221" s="6" t="n"/>
    </row>
    <row r="222" ht="26" customHeight="1">
      <c r="A222" s="2" t="inlineStr">
        <is>
          <t>Semak senarai pekerja, jadual syif dan rekod latihan, perhatikan amalan pekerja dan pelawat di kawasan pemprosesan, temu bual pekerja, dan periksa kemudahan solat serta kemudahan pekerja.</t>
        </is>
      </c>
    </row>
    <row r="223">
      <c r="A223" s="7" t="inlineStr">
        <is>
          <t>M1</t>
        </is>
      </c>
      <c r="B223" s="7" t="inlineStr">
        <is>
          <t>Besar/sederhana: sekurang-kurangnya 2 pekerja Muslim warganegara Malaysia berjawatan tetap bertugas di kawasan pemprosesan sepanjang setiap syif (semak jadual syif dan rekod kehadiran).</t>
        </is>
      </c>
      <c r="C223" s="7" t="inlineStr">
        <is>
          <t>MPPHM 17(9)(a), 18(1)(f), 18(2)(e), 18(3)(e), 18(5)(c) (ikut jenis produk)</t>
        </is>
      </c>
      <c r="D223" s="7" t="inlineStr"/>
      <c r="E223" s="7" t="inlineStr"/>
      <c r="F223" t="inlineStr">
        <is>
          <t>M</t>
        </is>
      </c>
    </row>
    <row r="224">
      <c r="A224" s="7" t="inlineStr">
        <is>
          <t>M2</t>
        </is>
      </c>
      <c r="B224" s="7" t="inlineStr">
        <is>
          <t>Kecil/mikro: sekurang-kurangnya 1 pekerja Muslim warganegara Malaysia berjawatan tetap bertugas di kawasan pemprosesan sepanjang setiap syif (semak jadual syif dan rekod kehadiran).</t>
        </is>
      </c>
      <c r="C224" s="7" t="inlineStr">
        <is>
          <t>MPPHM 17(9)(a), 18(1)(f), 18(2)(e), 18(3)(e), 18(5)(c) (ikut jenis produk)</t>
        </is>
      </c>
      <c r="D224" s="7" t="inlineStr"/>
      <c r="E224" s="7" t="inlineStr"/>
      <c r="F224" t="inlineStr">
        <is>
          <t>M</t>
        </is>
      </c>
    </row>
    <row r="225">
      <c r="A225" s="7" t="inlineStr">
        <is>
          <t>M3</t>
        </is>
      </c>
      <c r="B225" s="7" t="inlineStr">
        <is>
          <t>Pekerja menjaga kebersihan diri (cth. kuku pendek dan bersih, membasuh tangan sebelum bekerja dan selepas ke tandas).</t>
        </is>
      </c>
      <c r="C225" s="7" t="inlineStr">
        <is>
          <t>MPPHM 17(9)(b)</t>
        </is>
      </c>
      <c r="D225" s="7" t="inlineStr"/>
      <c r="E225" s="7" t="inlineStr"/>
      <c r="F225" t="inlineStr">
        <is>
          <t>M</t>
        </is>
      </c>
    </row>
    <row r="226">
      <c r="A226" s="7" t="inlineStr">
        <is>
          <t>M4</t>
        </is>
      </c>
      <c r="B226" s="7" t="inlineStr">
        <is>
          <t>Pekerja memakai pakaian yang bersih dan sopan.</t>
        </is>
      </c>
      <c r="C226" s="7" t="inlineStr">
        <is>
          <t>MPPHM 17(9)(c)</t>
        </is>
      </c>
      <c r="D226" s="7" t="inlineStr"/>
      <c r="E226" s="7" t="inlineStr"/>
      <c r="F226" t="inlineStr">
        <is>
          <t>M</t>
        </is>
      </c>
    </row>
    <row r="227">
      <c r="A227" s="7" t="inlineStr">
        <is>
          <t>M5</t>
        </is>
      </c>
      <c r="B227" s="7" t="inlineStr">
        <is>
          <t>Barang peribadi, makanan dan minuman tidak dibawa ke kawasan pemprosesan.</t>
        </is>
      </c>
      <c r="C227" s="7" t="inlineStr">
        <is>
          <t>MPPHM 17(9)(d)</t>
        </is>
      </c>
      <c r="D227" s="7" t="inlineStr"/>
      <c r="E227" s="7" t="inlineStr"/>
      <c r="F227" t="inlineStr">
        <is>
          <t>M</t>
        </is>
      </c>
    </row>
    <row r="228">
      <c r="A228" s="7" t="inlineStr">
        <is>
          <t>M6</t>
        </is>
      </c>
      <c r="B228" s="7" t="inlineStr">
        <is>
          <t>PPE (penutup kepala, sarung tangan, penutup muka, kaca mata keselamatan) disediakan dan dipakai mengikut keperluan kawasan.</t>
        </is>
      </c>
      <c r="C228" s="7" t="inlineStr">
        <is>
          <t>MPPHM 17(9)(e)</t>
        </is>
      </c>
      <c r="D228" s="7" t="inlineStr"/>
      <c r="E228" s="7" t="inlineStr"/>
      <c r="F228" t="inlineStr">
        <is>
          <t>M</t>
        </is>
      </c>
    </row>
    <row r="229">
      <c r="A229" s="7" t="inlineStr">
        <is>
          <t>M7</t>
        </is>
      </c>
      <c r="B229" s="7" t="inlineStr">
        <is>
          <t>Tiada merokok, meludah atau perbuatan lain yang boleh mencemarkan produk.</t>
        </is>
      </c>
      <c r="C229" s="7" t="inlineStr">
        <is>
          <t>MPPHM 17(9)(f)</t>
        </is>
      </c>
      <c r="D229" s="7" t="inlineStr"/>
      <c r="E229" s="7" t="inlineStr"/>
      <c r="F229" t="inlineStr">
        <is>
          <t>M</t>
        </is>
      </c>
    </row>
    <row r="230">
      <c r="A230" s="7" t="inlineStr">
        <is>
          <t>M8</t>
        </is>
      </c>
      <c r="B230" s="7" t="inlineStr">
        <is>
          <t>Pelawat, termasuk wakil dan juruaudit pelanggan serta kontraktor, mematuhi peraturan kebersihan dan halal kilang semasa memasuki kawasan pemprosesan: tidak membawa makanan, minuman atau barang peribadi, dan memakai PPE.</t>
        </is>
      </c>
      <c r="C230" s="7" t="inlineStr">
        <is>
          <t>MPPHM 17(9)(d), 17(9)(e)</t>
        </is>
      </c>
      <c r="D230" s="7" t="inlineStr"/>
      <c r="E230" s="7" t="inlineStr"/>
      <c r="F230" t="inlineStr">
        <is>
          <t>M</t>
        </is>
      </c>
    </row>
    <row r="231">
      <c r="A231" s="7" t="inlineStr">
        <is>
          <t>M9</t>
        </is>
      </c>
      <c r="B231" s="7" t="inlineStr">
        <is>
          <t>Pengambilan pekerja, termasuk pekerja asing dan pekerja kontrak, mematuhi undang-undang.</t>
        </is>
      </c>
      <c r="C231" s="7" t="inlineStr">
        <is>
          <t>MPPHM 17(9)(g)</t>
        </is>
      </c>
      <c r="D231" s="7" t="inlineStr"/>
      <c r="E231" s="7" t="inlineStr"/>
      <c r="F231" t="inlineStr">
        <is>
          <t>M</t>
        </is>
      </c>
    </row>
    <row r="232">
      <c r="A232" s="7" t="inlineStr">
        <is>
          <t>M10</t>
        </is>
      </c>
      <c r="B232" s="7" t="inlineStr">
        <is>
          <t>Kod etika pekerja dan amalan GHP dipatuhi.</t>
        </is>
      </c>
      <c r="C232" s="7" t="inlineStr">
        <is>
          <t>MPPHM 17(9)(h)</t>
        </is>
      </c>
      <c r="D232" s="7" t="inlineStr"/>
      <c r="E232" s="7" t="inlineStr"/>
      <c r="F232" t="inlineStr">
        <is>
          <t>M</t>
        </is>
      </c>
    </row>
    <row r="233">
      <c r="A233" s="7" t="inlineStr">
        <is>
          <t>M11</t>
        </is>
      </c>
      <c r="B233" s="7" t="inlineStr">
        <is>
          <t>Apabila ditemu bual, pekerja di kawasan penerimaan, penimbangan, pemprosesan dan pertukaran talian faham kawalan halal khusus OEM (cth. mengenal pasti bahan pelanggan, status kuarantin, langkah pertukaran talian, dan tindakan jika bahan meragukan).</t>
        </is>
      </c>
      <c r="C233" s="7" t="inlineStr">
        <is>
          <t>MHMS 5(8), 7(5)(a)(ii)</t>
        </is>
      </c>
      <c r="D233" s="7" t="inlineStr"/>
      <c r="E233" s="7" t="inlineStr"/>
      <c r="F233" t="inlineStr">
        <is>
          <t>M</t>
        </is>
      </c>
    </row>
    <row r="234">
      <c r="A234" s="7" t="inlineStr">
        <is>
          <t>M12</t>
        </is>
      </c>
      <c r="B234" s="7" t="inlineStr">
        <is>
          <t>Pekerja baharu menerima latihan kesedaran halal dalam tempoh 3 bulan dari tarikh lantikan.</t>
        </is>
      </c>
      <c r="C234" s="7" t="inlineStr">
        <is>
          <t>MPPHM 17(12)(a); MHMS 5(8)</t>
        </is>
      </c>
      <c r="D234" s="7" t="inlineStr"/>
      <c r="E234" s="7" t="inlineStr"/>
      <c r="F234" t="inlineStr">
        <is>
          <t>M</t>
        </is>
      </c>
    </row>
    <row r="235">
      <c r="A235" s="7" t="inlineStr">
        <is>
          <t>M13</t>
        </is>
      </c>
      <c r="B235" s="7" t="inlineStr">
        <is>
          <t>Semua pekerja pemprosesan menghadiri latihan kesedaran halal sekurang-kurangnya sekali setiap 3 tahun. Latihan ini merangkumi konsep halal dan prosedur SPHM, dan disampaikan oleh individu atau organisasi yang berdaftar dengan HPB JAKIM.</t>
        </is>
      </c>
      <c r="C235" s="7" t="inlineStr">
        <is>
          <t>MPPHM 17(12)(b), 17(12)(c); MHMS 5(8)</t>
        </is>
      </c>
      <c r="D235" s="7" t="inlineStr"/>
      <c r="E235" s="7" t="inlineStr"/>
      <c r="F235" t="inlineStr">
        <is>
          <t>M</t>
        </is>
      </c>
    </row>
    <row r="236">
      <c r="A236" s="7" t="inlineStr">
        <is>
          <t>M14</t>
        </is>
      </c>
      <c r="B236" s="7" t="inlineStr">
        <is>
          <t>Latihan kesedaran halal dipanjangkan, mengikut keperluan, kepada pihak ketiga berkaitan seperti pemilik jenama (pelanggan), pembekal dan penyedia pengangkutan.</t>
        </is>
      </c>
      <c r="C236" s="7" t="inlineStr">
        <is>
          <t>MPPHM 17(12)(d)</t>
        </is>
      </c>
      <c r="D236" s="7" t="inlineStr"/>
      <c r="E236" s="7" t="inlineStr"/>
      <c r="F236" t="inlineStr">
        <is>
          <t>M</t>
        </is>
      </c>
    </row>
    <row r="237">
      <c r="A237" s="7" t="inlineStr">
        <is>
          <t>M15</t>
        </is>
      </c>
      <c r="B237" s="7" t="inlineStr">
        <is>
          <t>Ahli JKHD menghadiri latihan kompetensi halal oleh Penyedia Latihan Halal berdaftar sekurang-kurangnya sekali setiap 3 tahun. Latihan ini merangkumi Syariah dan fatwa, MS, MPPHM, MHMS, perundangan halal dan bahan kritikal.</t>
        </is>
      </c>
      <c r="C237" s="7" t="inlineStr">
        <is>
          <t>MPPHM 17(12)(e), 17(12)(f); MHMS 5(8)</t>
        </is>
      </c>
      <c r="D237" s="7" t="inlineStr"/>
      <c r="E237" s="7" t="inlineStr"/>
      <c r="F237" t="inlineStr">
        <is>
          <t>M</t>
        </is>
      </c>
    </row>
    <row r="238">
      <c r="A238" s="7" t="inlineStr">
        <is>
          <t>M16</t>
        </is>
      </c>
      <c r="B238" s="7" t="inlineStr">
        <is>
          <t>Pengurusan menyediakan peruntukan kewangan dan infrastruktur yang mencukupi untuk latihan halal.</t>
        </is>
      </c>
      <c r="C238" s="7" t="inlineStr">
        <is>
          <t>MPPHM 17(12)(g); MHMS 5(8)</t>
        </is>
      </c>
      <c r="D238" s="7" t="inlineStr"/>
      <c r="E238" s="7" t="inlineStr"/>
      <c r="F238" t="inlineStr">
        <is>
          <t>M</t>
        </is>
      </c>
    </row>
    <row r="239">
      <c r="A239" s="7" t="inlineStr">
        <is>
          <t>M17</t>
        </is>
      </c>
      <c r="B239" s="7" t="inlineStr">
        <is>
          <t>Besar/sederhana (HAS): prosedur latihan halal dan Pelan Operasi Latihan disediakan (jenis latihan, peserta, kekerapan, cadangan tarikh, penyampai dan rekod), dan keberkesanan latihan dinilai.</t>
        </is>
      </c>
      <c r="C239" s="7" t="inlineStr">
        <is>
          <t>MHMS 5(8)</t>
        </is>
      </c>
      <c r="D239" s="7" t="inlineStr"/>
      <c r="E239" s="7" t="inlineStr"/>
      <c r="F239" t="inlineStr">
        <is>
          <t>M</t>
        </is>
      </c>
    </row>
    <row r="240">
      <c r="A240" s="7" t="inlineStr">
        <is>
          <t>M18</t>
        </is>
      </c>
      <c r="B240" s="7" t="inlineStr">
        <is>
          <t>Rekod latihan disimpan, dikemas kini dan mudah dicapai.</t>
        </is>
      </c>
      <c r="C240" s="7" t="inlineStr">
        <is>
          <t>MPPHM 17(12)(h)</t>
        </is>
      </c>
      <c r="D240" s="7" t="inlineStr"/>
      <c r="E240" s="7" t="inlineStr"/>
      <c r="F240" t="inlineStr">
        <is>
          <t>M</t>
        </is>
      </c>
    </row>
    <row r="241">
      <c r="A241" s="7" t="inlineStr">
        <is>
          <t>M19</t>
        </is>
      </c>
      <c r="B241" s="7" t="inlineStr">
        <is>
          <t>Bilik atau ruang solat yang mencukupi disediakan di lokasi yang sesuai dan dijaga kebersihannya.</t>
        </is>
      </c>
      <c r="C241" s="7" t="inlineStr">
        <is>
          <t>MPPHM 17(11)(a)</t>
        </is>
      </c>
      <c r="D241" s="7" t="inlineStr"/>
      <c r="E241" s="7" t="inlineStr"/>
      <c r="F241" t="inlineStr">
        <is>
          <t>M</t>
        </is>
      </c>
    </row>
    <row r="242">
      <c r="A242" s="7" t="inlineStr">
        <is>
          <t>M20</t>
        </is>
      </c>
      <c r="B242" s="7" t="inlineStr">
        <is>
          <t>Pekerja Muslim diberi pelepasan dan masa yang munasabah untuk menunaikan solat fardu, termasuk solat Jumaat.</t>
        </is>
      </c>
      <c r="C242" s="7" t="inlineStr">
        <is>
          <t>MPPHM 17(11)(b)</t>
        </is>
      </c>
      <c r="D242" s="7" t="inlineStr"/>
      <c r="E242" s="7" t="inlineStr"/>
      <c r="F242" t="inlineStr">
        <is>
          <t>M</t>
        </is>
      </c>
    </row>
    <row r="243">
      <c r="A243" s="7" t="inlineStr">
        <is>
          <t>M21</t>
        </is>
      </c>
      <c r="B243" s="7" t="inlineStr">
        <is>
          <t>Bilik atau ruang persalinan (bilik tukar pakaian) untuk pekerja disediakan dengan sewajarnya.</t>
        </is>
      </c>
      <c r="C243" s="7" t="inlineStr">
        <is>
          <t>MPPHM 17(11)(c)</t>
        </is>
      </c>
      <c r="D243" s="7" t="inlineStr"/>
      <c r="E243" s="7" t="inlineStr"/>
      <c r="F243" t="inlineStr">
        <is>
          <t>M</t>
        </is>
      </c>
    </row>
    <row r="244">
      <c r="A244" s="7" t="inlineStr">
        <is>
          <t>M22</t>
        </is>
      </c>
      <c r="B244" s="7" t="inlineStr">
        <is>
          <t>Ruang rehat disediakan untuk pekerja.</t>
        </is>
      </c>
      <c r="C244" s="7" t="inlineStr">
        <is>
          <t>MPPHM 17(11)(d)</t>
        </is>
      </c>
      <c r="D244" s="7" t="inlineStr"/>
      <c r="E244" s="7" t="inlineStr"/>
      <c r="F244" t="inlineStr">
        <is>
          <t>M</t>
        </is>
      </c>
    </row>
    <row r="245">
      <c r="A245" s="7" t="inlineStr">
        <is>
          <t>M23</t>
        </is>
      </c>
      <c r="B245" s="7" t="inlineStr">
        <is>
          <t>Tempat simpanan barang peribadi (cth. loker) disediakan.</t>
        </is>
      </c>
      <c r="C245" s="7" t="inlineStr">
        <is>
          <t>MPPHM 17(11)(e)</t>
        </is>
      </c>
      <c r="D245" s="7" t="inlineStr"/>
      <c r="E245" s="7" t="inlineStr"/>
      <c r="F245" t="inlineStr">
        <is>
          <t>M</t>
        </is>
      </c>
    </row>
    <row r="246">
      <c r="A246" s="4" t="inlineStr">
        <is>
          <t>Bahagian N: Kebolehkesanan, Penarikan Balik &amp; Dokumentasi</t>
        </is>
      </c>
      <c r="B246" s="5" t="n"/>
      <c r="C246" s="5" t="n"/>
      <c r="D246" s="5" t="n"/>
      <c r="E246" s="6" t="n"/>
    </row>
    <row r="247" ht="26" customHeight="1">
      <c r="A247" s="2" t="inlineStr">
        <is>
          <t>Uji kebolehkesanan bagi sekurang-kurangnya satu kelompok produk pelanggan, semak prosedur penarikan balik, tindakan ketidakakuran dan rekod mock recall, kemudian semak fail dokumentasi dan rekod.</t>
        </is>
      </c>
    </row>
    <row r="248">
      <c r="A248" s="7" t="inlineStr">
        <is>
          <t>N1</t>
        </is>
      </c>
      <c r="B248" s="7" t="inlineStr">
        <is>
          <t>Prosedur kebolehkesanan bertulis membolehkan setiap kelompok produk pelanggan dikesan ke belakang hingga lot bahan mentah dan pembekal (termasuk bahan yang dibekalkan pelanggan), dan ke hadapan hingga penerima produk. Rekod kebolehkesanan disimpan.</t>
        </is>
      </c>
      <c r="C248" s="7" t="inlineStr">
        <is>
          <t>MHMS 5(9), 6(3), 7(5)(b)(iv); PKM per. 10 (OEM makanan &amp; minuman)</t>
        </is>
      </c>
      <c r="D248" s="7" t="inlineStr"/>
      <c r="E248" s="7" t="inlineStr"/>
      <c r="F248" t="inlineStr">
        <is>
          <t>N</t>
        </is>
      </c>
    </row>
    <row r="249">
      <c r="A249" s="7" t="inlineStr">
        <is>
          <t>N2</t>
        </is>
      </c>
      <c r="B249" s="7" t="inlineStr">
        <is>
          <t>Setiap unit atau bungkusan produk pelanggan ditanda dengan nombor kelompok atau kod tarikh yang dapat dikaitkan dengan rekod kelompok.</t>
        </is>
      </c>
      <c r="C249" s="7" t="inlineStr">
        <is>
          <t>MHMS 5(9)</t>
        </is>
      </c>
      <c r="D249" s="7" t="inlineStr"/>
      <c r="E249" s="7" t="inlineStr"/>
      <c r="F249" t="inlineStr">
        <is>
          <t>N</t>
        </is>
      </c>
    </row>
    <row r="250">
      <c r="A250" s="7" t="inlineStr">
        <is>
          <t>N3</t>
        </is>
      </c>
      <c r="B250" s="7" t="inlineStr">
        <is>
          <t>Ujian kebolehkesanan semasa audit: satu kelompok produk siap jenama pelanggan dapat dikesan ke belakang (lot bahan, sijil halal, rekod kelompok, talian dan rekod pembersihan) dan ke hadapan (nota hantaran kepada pelanggan).</t>
        </is>
      </c>
      <c r="C250" s="7" t="inlineStr">
        <is>
          <t>MHMS 5(9)</t>
        </is>
      </c>
      <c r="D250" s="7" t="inlineStr"/>
      <c r="E250" s="7" t="inlineStr"/>
      <c r="F250" t="inlineStr">
        <is>
          <t>N</t>
        </is>
      </c>
    </row>
    <row r="251">
      <c r="A251" s="7" t="inlineStr">
        <is>
          <t>N4</t>
        </is>
      </c>
      <c r="B251" s="7" t="inlineStr">
        <is>
          <t>Prosedur penarikan balik (withdrawal/recall) menyatakan peranan kilang dan peranan pemilik jenama, iaitu siapa membuat keputusan, siapa menarik balik produk dari pasaran, dan siapa memaklumkan pihak berkuasa. Maklumat perhubungan setiap pelanggan adalah terkini.</t>
        </is>
      </c>
      <c r="C251" s="7" t="inlineStr">
        <is>
          <t>MHMS 5(9)</t>
        </is>
      </c>
      <c r="D251" s="7" t="inlineStr"/>
      <c r="E251" s="7" t="inlineStr"/>
      <c r="F251" t="inlineStr">
        <is>
          <t>N</t>
        </is>
      </c>
    </row>
    <row r="252">
      <c r="A252" s="7" t="inlineStr">
        <is>
          <t>N5</t>
        </is>
      </c>
      <c r="B252" s="7" t="inlineStr">
        <is>
          <t>Besar/sederhana (HAS): latihan penarikan balik (mock recall) dijalankan sekurang-kurangnya sekali setahun, sebaiknya melibatkan produk pelanggan, dan rekodnya disimpan.</t>
        </is>
      </c>
      <c r="C252" s="7" t="inlineStr">
        <is>
          <t>MHMS 5(9)</t>
        </is>
      </c>
      <c r="D252" s="7" t="inlineStr"/>
      <c r="E252" s="7" t="inlineStr"/>
      <c r="F252" t="inlineStr">
        <is>
          <t>N</t>
        </is>
      </c>
    </row>
    <row r="253">
      <c r="A253" s="7" t="inlineStr">
        <is>
          <t>N6</t>
        </is>
      </c>
      <c r="B253" s="7" t="inlineStr">
        <is>
          <t>Jika ketidakakuran halal dikesan pada produk pelanggan (cth. bahan tidak halal atau tercemar): produk dan kelompok yang terjejas dikenal pasti, asal kilang disahkan, baki stok diasingkan, lokasi edaran di pasaran dikenal pasti, produk ditarik balik, pihak berkuasa dan pelanggan dimaklumkan, punca disiasat, dan tindakan pembetulan direkodkan.</t>
        </is>
      </c>
      <c r="C253" s="7" t="inlineStr">
        <is>
          <t>MHMS 5(9)</t>
        </is>
      </c>
      <c r="D253" s="7" t="inlineStr"/>
      <c r="E253" s="7" t="inlineStr"/>
      <c r="F253" t="inlineStr">
        <is>
          <t>N</t>
        </is>
      </c>
    </row>
    <row r="254">
      <c r="A254" s="7" t="inlineStr">
        <is>
          <t>N7</t>
        </is>
      </c>
      <c r="B254" s="7" t="inlineStr">
        <is>
          <t>Dokumen dan rekod halal terkini, lengkap dan mudah dicapai semasa audit, termasuk fail permohonan MYeHALAL, fail MHMS (HAS/IHCS), sijil, rekod pekerja, rekod latihan, rekod pembelian bahan, rekod kawalan perosak, rekod pemprosesan dan laporan audit terdahulu.</t>
        </is>
      </c>
      <c r="C254" s="7" t="inlineStr">
        <is>
          <t>MPPHM 17(14)(a), 17(14)(b); MHMS 5(13)</t>
        </is>
      </c>
      <c r="D254" s="7" t="inlineStr"/>
      <c r="E254" s="7" t="inlineStr"/>
      <c r="F254" t="inlineStr">
        <is>
          <t>N</t>
        </is>
      </c>
    </row>
    <row r="255">
      <c r="A255" s="7" t="inlineStr">
        <is>
          <t>N8</t>
        </is>
      </c>
      <c r="B255" s="7" t="inlineStr">
        <is>
          <t>Fail setiap pelanggan lengkap, mengandungi kontrak atau perjanjian, formulasi dan spesifikasi yang diluluskan, senarai bahan dan sijil halal (termasuk bahan yang dibekalkan pelanggan), reka bentuk label yang diluluskan, status SPHM pelanggan dan rekod kelompok.</t>
        </is>
      </c>
      <c r="C255" s="7" t="inlineStr">
        <is>
          <t>MHMS 7(5)(a)(iii); MPPHM 17(14)(b)</t>
        </is>
      </c>
      <c r="D255" s="7" t="inlineStr"/>
      <c r="E255" s="7" t="inlineStr"/>
      <c r="F255" t="inlineStr">
        <is>
          <t>N</t>
        </is>
      </c>
    </row>
    <row r="256">
      <c r="A256" s="7" t="inlineStr">
        <is>
          <t>N9</t>
        </is>
      </c>
      <c r="B256" s="7" t="inlineStr">
        <is>
          <t>Rekod disimpan sekurang-kurangnya 3 tahun. Pemohon baharu mempunyai rekod sekurang-kurangnya 3 bulan.</t>
        </is>
      </c>
      <c r="C256" s="7" t="inlineStr">
        <is>
          <t>MPPHM 17(14)(c), 17(14)(d); MHMS 5(13)</t>
        </is>
      </c>
      <c r="D256" s="7" t="inlineStr"/>
      <c r="E256" s="7" t="inlineStr"/>
      <c r="F256" t="inlineStr">
        <is>
          <t>N</t>
        </is>
      </c>
    </row>
    <row r="257">
      <c r="A257" s="7" t="inlineStr">
        <is>
          <t>N10</t>
        </is>
      </c>
      <c r="B257" s="7" t="inlineStr">
        <is>
          <t>OEM makanan &amp; minuman: rekod latihan, pemeriksaan perubatan dan suntikan pengendali makanan, serta rekod pembersihan, pemprosesan, pembungkusan, penyimpanan dan pengedaran, disimpan untuk pemeriksaan.</t>
        </is>
      </c>
      <c r="C257" s="7" t="inlineStr">
        <is>
          <t>PKM per. 11</t>
        </is>
      </c>
      <c r="D257" s="7" t="inlineStr"/>
      <c r="E257" s="7" t="inlineStr"/>
      <c r="F257" t="inlineStr">
        <is>
          <t>N</t>
        </is>
      </c>
    </row>
    <row r="258">
      <c r="A258" s="7" t="inlineStr">
        <is>
          <t>N11</t>
        </is>
      </c>
      <c r="B258" s="7" t="inlineStr">
        <is>
          <t>Dokumen sokongan difailkan berasingan dengan nombor rujukan, direkodkan secara sistematik dan mudah dikesan.</t>
        </is>
      </c>
      <c r="C258" s="7" t="inlineStr">
        <is>
          <t>MHMS 5(13)</t>
        </is>
      </c>
      <c r="D258" s="7" t="inlineStr"/>
      <c r="E258" s="7" t="inlineStr"/>
      <c r="F258" t="inlineStr">
        <is>
          <t>N</t>
        </is>
      </c>
    </row>
    <row r="259">
      <c r="A259" s="7" t="inlineStr">
        <is>
          <t>N12</t>
        </is>
      </c>
      <c r="B259" s="7" t="inlineStr">
        <is>
          <t>Rekod pembelian (invois, nota hantaran) sepadan dengan pembekal dan pengeluar dalam senarai induk. Tiada bahan dibeli daripada sumber yang tidak tersenarai.</t>
        </is>
      </c>
      <c r="C259" s="7" t="inlineStr">
        <is>
          <t>MPPHM 17(14)(b); MHMS 5(7)</t>
        </is>
      </c>
      <c r="D259" s="7" t="inlineStr"/>
      <c r="E259" s="7" t="inlineStr"/>
      <c r="F259" t="inlineStr">
        <is>
          <t>N</t>
        </is>
      </c>
    </row>
    <row r="260">
      <c r="A260" s="7" t="inlineStr">
        <is>
          <t>N13</t>
        </is>
      </c>
      <c r="B260" s="7" t="inlineStr">
        <is>
          <t>Laporan audit pensijilan dan pemantauan halal terdahulu tersedia, dan setiap ketidakakuran telah ditutup dengan tindakan pembetulan.</t>
        </is>
      </c>
      <c r="C260" s="7" t="inlineStr">
        <is>
          <t>MPPHM 17(14)(b)</t>
        </is>
      </c>
      <c r="D260" s="7" t="inlineStr"/>
      <c r="E260" s="7" t="inlineStr"/>
      <c r="F260" t="inlineStr">
        <is>
          <t>N</t>
        </is>
      </c>
    </row>
    <row r="261">
      <c r="A261" s="7" t="inlineStr">
        <is>
          <t>N14</t>
        </is>
      </c>
      <c r="B261" s="7" t="inlineStr">
        <is>
          <t>Perubahan maklumat syarikat atau kilang (cth. nama, alamat, cawangan) dimaklumkan kepada pihak berkuasa melalui MYeHALAL.</t>
        </is>
      </c>
      <c r="C261" s="7" t="inlineStr">
        <is>
          <t>MPPHM 37</t>
        </is>
      </c>
      <c r="D261" s="7" t="inlineStr"/>
      <c r="E261" s="7" t="inlineStr"/>
      <c r="F261" t="inlineStr">
        <is>
          <t>N</t>
        </is>
      </c>
    </row>
  </sheetData>
  <mergeCells count="29">
    <mergeCell ref="A148:E148"/>
    <mergeCell ref="A222:E222"/>
    <mergeCell ref="A45:E45"/>
    <mergeCell ref="A6:E6"/>
    <mergeCell ref="A124:E124"/>
    <mergeCell ref="A7:E7"/>
    <mergeCell ref="A221:E221"/>
    <mergeCell ref="A90:E90"/>
    <mergeCell ref="A212:E212"/>
    <mergeCell ref="A164:E164"/>
    <mergeCell ref="A246:E246"/>
    <mergeCell ref="A89:E89"/>
    <mergeCell ref="A18:E18"/>
    <mergeCell ref="A3:E3"/>
    <mergeCell ref="A163:E163"/>
    <mergeCell ref="A101:E101"/>
    <mergeCell ref="A179:E179"/>
    <mergeCell ref="A195:E195"/>
    <mergeCell ref="A213:E213"/>
    <mergeCell ref="A247:E247"/>
    <mergeCell ref="A194:E194"/>
    <mergeCell ref="A180:E180"/>
    <mergeCell ref="A62:E62"/>
    <mergeCell ref="A125:E125"/>
    <mergeCell ref="A147:E147"/>
    <mergeCell ref="A19:E19"/>
    <mergeCell ref="A63:E63"/>
    <mergeCell ref="A102:E102"/>
    <mergeCell ref="A44:E44"/>
  </mergeCells>
  <conditionalFormatting sqref="D6:D261">
    <cfRule type="cellIs" priority="1" operator="equal" dxfId="0">
      <formula>"Tidak"</formula>
    </cfRule>
    <cfRule type="cellIs" priority="2" operator="equal" dxfId="1">
      <formula>"Ya"</formula>
    </cfRule>
  </conditionalFormatting>
  <dataValidations count="1">
    <dataValidation sqref="D8 D9 D10 D11 D12 D13 D14 D15 D16 D17 D20 D21 D22 D23 D24 D25 D26 D27 D28 D29 D30 D31 D32 D33 D34 D35 D36 D37 D38 D39 D40 D41 D42 D43 D46 D47 D48 D49 D50 D51 D52 D53 D54 D55 D56 D57 D58 D59 D60 D61 D64 D65 D66 D67 D68 D69 D70 D71 D72 D73 D74 D75 D76 D77 D78 D79 D80 D81 D82 D83 D84 D85 D86 D87 D88 D91 D92 D93 D94 D95 D96 D97 D98 D99 D100 D103 D104 D105 D106 D107 D108 D109 D110 D111 D112 D113 D114 D115 D116 D117 D118 D119 D120 D121 D122 D123 D126 D127 D128 D129 D130 D131 D132 D133 D134 D135 D136 D137 D138 D139 D140 D141 D142 D143 D144 D145 D146 D149 D150 D151 D152 D153 D154 D155 D156 D157 D158 D159 D160 D161 D162 D165 D166 D167 D168 D169 D170 D171 D172 D173 D174 D175 D176 D177 D178 D181 D182 D183 D184 D185 D186 D187 D188 D189 D190 D191 D192 D193 D196 D197 D198 D199 D200 D201 D202 D203 D204 D205 D206 D207 D208 D209 D210 D211 D214 D215 D216 D217 D218 D219 D220 D223 D224 D225 D226 D227 D228 D229 D230 D231 D232 D233 D234 D235 D236 D237 D238 D239 D240 D241 D242 D243 D244 D245 D248 D249 D250 D251 D252 D253 D254 D255 D256 D257 D258 D259 D260 D261"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Pengilangan Kontrak (OEM)</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SPHM Skim OEM</t>
        </is>
      </c>
      <c r="B4" t="n">
        <v>10</v>
      </c>
      <c r="C4">
        <f>COUNTIFS('Senarai Semak'!$F$6:$F$261,"A",'Senarai Semak'!$D$6:$D$261,"Ya")</f>
        <v/>
      </c>
      <c r="D4">
        <f>COUNTIFS('Senarai Semak'!$F$6:$F$261,"A",'Senarai Semak'!$D$6:$D$261,"Tidak")</f>
        <v/>
      </c>
      <c r="E4">
        <f>COUNTIFS('Senarai Semak'!$F$6:$F$261,"A",'Senarai Semak'!$D$6:$D$261,"TB")</f>
        <v/>
      </c>
      <c r="F4">
        <f>B4-C4-D4-E4</f>
        <v/>
      </c>
      <c r="G4" s="10">
        <f>IF(C4+D4=0,"",C4/(C4+D4))</f>
        <v/>
      </c>
    </row>
    <row r="5">
      <c r="A5" t="inlineStr">
        <is>
          <t>B: Keperluan Mengikut Jenis Produk yang Dikilangkan</t>
        </is>
      </c>
      <c r="B5" t="n">
        <v>24</v>
      </c>
      <c r="C5">
        <f>COUNTIFS('Senarai Semak'!$F$6:$F$261,"B",'Senarai Semak'!$D$6:$D$261,"Ya")</f>
        <v/>
      </c>
      <c r="D5">
        <f>COUNTIFS('Senarai Semak'!$F$6:$F$261,"B",'Senarai Semak'!$D$6:$D$261,"Tidak")</f>
        <v/>
      </c>
      <c r="E5">
        <f>COUNTIFS('Senarai Semak'!$F$6:$F$261,"B",'Senarai Semak'!$D$6:$D$261,"TB")</f>
        <v/>
      </c>
      <c r="F5">
        <f>B5-C5-D5-E5</f>
        <v/>
      </c>
      <c r="G5" s="10">
        <f>IF(C5+D5=0,"",C5/(C5+D5))</f>
        <v/>
      </c>
    </row>
    <row r="6">
      <c r="A6" t="inlineStr">
        <is>
          <t>C: Pelanggan (Pemilik Jenama), Kontrak &amp; Status SPHM Produk</t>
        </is>
      </c>
      <c r="B6" t="n">
        <v>16</v>
      </c>
      <c r="C6">
        <f>COUNTIFS('Senarai Semak'!$F$6:$F$261,"C",'Senarai Semak'!$D$6:$D$261,"Ya")</f>
        <v/>
      </c>
      <c r="D6">
        <f>COUNTIFS('Senarai Semak'!$F$6:$F$261,"C",'Senarai Semak'!$D$6:$D$261,"Tidak")</f>
        <v/>
      </c>
      <c r="E6">
        <f>COUNTIFS('Senarai Semak'!$F$6:$F$261,"C",'Senarai Semak'!$D$6:$D$261,"TB")</f>
        <v/>
      </c>
      <c r="F6">
        <f>B6-C6-D6-E6</f>
        <v/>
      </c>
      <c r="G6" s="10">
        <f>IF(C6+D6=0,"",C6/(C6+D6))</f>
        <v/>
      </c>
    </row>
    <row r="7">
      <c r="A7" t="inlineStr">
        <is>
          <t>D: Pengurusan Halal &amp; MHMS (HAS/IHCS) mengikut Saiz Industri</t>
        </is>
      </c>
      <c r="B7" t="n">
        <v>25</v>
      </c>
      <c r="C7">
        <f>COUNTIFS('Senarai Semak'!$F$6:$F$261,"D",'Senarai Semak'!$D$6:$D$261,"Ya")</f>
        <v/>
      </c>
      <c r="D7">
        <f>COUNTIFS('Senarai Semak'!$F$6:$F$261,"D",'Senarai Semak'!$D$6:$D$261,"Tidak")</f>
        <v/>
      </c>
      <c r="E7">
        <f>COUNTIFS('Senarai Semak'!$F$6:$F$261,"D",'Senarai Semak'!$D$6:$D$261,"TB")</f>
        <v/>
      </c>
      <c r="F7">
        <f>B7-C7-D7-E7</f>
        <v/>
      </c>
      <c r="G7" s="10">
        <f>IF(C7+D7=0,"",C7/(C7+D7))</f>
        <v/>
      </c>
    </row>
    <row r="8">
      <c r="A8" t="inlineStr">
        <is>
          <t>E: Formulasi, R&amp;D, Sampel &amp; Perubahan Produk Pelanggan</t>
        </is>
      </c>
      <c r="B8" t="n">
        <v>10</v>
      </c>
      <c r="C8">
        <f>COUNTIFS('Senarai Semak'!$F$6:$F$261,"E",'Senarai Semak'!$D$6:$D$261,"Ya")</f>
        <v/>
      </c>
      <c r="D8">
        <f>COUNTIFS('Senarai Semak'!$F$6:$F$261,"E",'Senarai Semak'!$D$6:$D$261,"Tidak")</f>
        <v/>
      </c>
      <c r="E8">
        <f>COUNTIFS('Senarai Semak'!$F$6:$F$261,"E",'Senarai Semak'!$D$6:$D$261,"TB")</f>
        <v/>
      </c>
      <c r="F8">
        <f>B8-C8-D8-E8</f>
        <v/>
      </c>
      <c r="G8" s="10">
        <f>IF(C8+D8=0,"",C8/(C8+D8))</f>
        <v/>
      </c>
    </row>
    <row r="9">
      <c r="A9" t="inlineStr">
        <is>
          <t>F: Bahan Mentah, Pembekal &amp; Bahan Dibekalkan Pelanggan</t>
        </is>
      </c>
      <c r="B9" t="n">
        <v>21</v>
      </c>
      <c r="C9">
        <f>COUNTIFS('Senarai Semak'!$F$6:$F$261,"F",'Senarai Semak'!$D$6:$D$261,"Ya")</f>
        <v/>
      </c>
      <c r="D9">
        <f>COUNTIFS('Senarai Semak'!$F$6:$F$261,"F",'Senarai Semak'!$D$6:$D$261,"Tidak")</f>
        <v/>
      </c>
      <c r="E9">
        <f>COUNTIFS('Senarai Semak'!$F$6:$F$261,"F",'Senarai Semak'!$D$6:$D$261,"TB")</f>
        <v/>
      </c>
      <c r="F9">
        <f>B9-C9-D9-E9</f>
        <v/>
      </c>
      <c r="G9" s="10">
        <f>IF(C9+D9=0,"",C9/(C9+D9))</f>
        <v/>
      </c>
    </row>
    <row r="10">
      <c r="A10" t="inlineStr">
        <is>
          <t>G: Premis, Persekitaran &amp; Sanitasi</t>
        </is>
      </c>
      <c r="B10" t="n">
        <v>21</v>
      </c>
      <c r="C10">
        <f>COUNTIFS('Senarai Semak'!$F$6:$F$261,"G",'Senarai Semak'!$D$6:$D$261,"Ya")</f>
        <v/>
      </c>
      <c r="D10">
        <f>COUNTIFS('Senarai Semak'!$F$6:$F$261,"G",'Senarai Semak'!$D$6:$D$261,"Tidak")</f>
        <v/>
      </c>
      <c r="E10">
        <f>COUNTIFS('Senarai Semak'!$F$6:$F$261,"G",'Senarai Semak'!$D$6:$D$261,"TB")</f>
        <v/>
      </c>
      <c r="F10">
        <f>B10-C10-D10-E10</f>
        <v/>
      </c>
      <c r="G10" s="10">
        <f>IF(C10+D10=0,"",C10/(C10+D10))</f>
        <v/>
      </c>
    </row>
    <row r="11">
      <c r="A11" t="inlineStr">
        <is>
          <t>H: Penyimpanan, Pengasingan Pelanggan, Reject &amp; Pulangan</t>
        </is>
      </c>
      <c r="B11" t="n">
        <v>14</v>
      </c>
      <c r="C11">
        <f>COUNTIFS('Senarai Semak'!$F$6:$F$261,"H",'Senarai Semak'!$D$6:$D$261,"Ya")</f>
        <v/>
      </c>
      <c r="D11">
        <f>COUNTIFS('Senarai Semak'!$F$6:$F$261,"H",'Senarai Semak'!$D$6:$D$261,"Tidak")</f>
        <v/>
      </c>
      <c r="E11">
        <f>COUNTIFS('Senarai Semak'!$F$6:$F$261,"H",'Senarai Semak'!$D$6:$D$261,"TB")</f>
        <v/>
      </c>
      <c r="F11">
        <f>B11-C11-D11-E11</f>
        <v/>
      </c>
      <c r="G11" s="10">
        <f>IF(C11+D11=0,"",C11/(C11+D11))</f>
        <v/>
      </c>
    </row>
    <row r="12">
      <c r="A12" t="inlineStr">
        <is>
          <t>I: Pemprosesan, Kelompok Pelanggan &amp; Pertukaran Talian</t>
        </is>
      </c>
      <c r="B12" t="n">
        <v>14</v>
      </c>
      <c r="C12">
        <f>COUNTIFS('Senarai Semak'!$F$6:$F$261,"I",'Senarai Semak'!$D$6:$D$261,"Ya")</f>
        <v/>
      </c>
      <c r="D12">
        <f>COUNTIFS('Senarai Semak'!$F$6:$F$261,"I",'Senarai Semak'!$D$6:$D$261,"Tidak")</f>
        <v/>
      </c>
      <c r="E12">
        <f>COUNTIFS('Senarai Semak'!$F$6:$F$261,"I",'Senarai Semak'!$D$6:$D$261,"TB")</f>
        <v/>
      </c>
      <c r="F12">
        <f>B12-C12-D12-E12</f>
        <v/>
      </c>
      <c r="G12" s="10">
        <f>IF(C12+D12=0,"",C12/(C12+D12))</f>
        <v/>
      </c>
    </row>
    <row r="13">
      <c r="A13" t="inlineStr">
        <is>
          <t>J: Peralatan, Pembersihan &amp; Sertu</t>
        </is>
      </c>
      <c r="B13" t="n">
        <v>13</v>
      </c>
      <c r="C13">
        <f>COUNTIFS('Senarai Semak'!$F$6:$F$261,"J",'Senarai Semak'!$D$6:$D$261,"Ya")</f>
        <v/>
      </c>
      <c r="D13">
        <f>COUNTIFS('Senarai Semak'!$F$6:$F$261,"J",'Senarai Semak'!$D$6:$D$261,"Tidak")</f>
        <v/>
      </c>
      <c r="E13">
        <f>COUNTIFS('Senarai Semak'!$F$6:$F$261,"J",'Senarai Semak'!$D$6:$D$261,"TB")</f>
        <v/>
      </c>
      <c r="F13">
        <f>B13-C13-D13-E13</f>
        <v/>
      </c>
      <c r="G13" s="10">
        <f>IF(C13+D13=0,"",C13/(C13+D13))</f>
        <v/>
      </c>
    </row>
    <row r="14">
      <c r="A14" t="inlineStr">
        <is>
          <t>K: Pembungkusan, Pelabelan, Logo Halal &amp; Paparan Sijil</t>
        </is>
      </c>
      <c r="B14" t="n">
        <v>16</v>
      </c>
      <c r="C14">
        <f>COUNTIFS('Senarai Semak'!$F$6:$F$261,"K",'Senarai Semak'!$D$6:$D$261,"Ya")</f>
        <v/>
      </c>
      <c r="D14">
        <f>COUNTIFS('Senarai Semak'!$F$6:$F$261,"K",'Senarai Semak'!$D$6:$D$261,"Tidak")</f>
        <v/>
      </c>
      <c r="E14">
        <f>COUNTIFS('Senarai Semak'!$F$6:$F$261,"K",'Senarai Semak'!$D$6:$D$261,"TB")</f>
        <v/>
      </c>
      <c r="F14">
        <f>B14-C14-D14-E14</f>
        <v/>
      </c>
      <c r="G14" s="10">
        <f>IF(C14+D14=0,"",C14/(C14+D14))</f>
        <v/>
      </c>
    </row>
    <row r="15">
      <c r="A15" t="inlineStr">
        <is>
          <t>L: Pengangkutan &amp; Penghantaran</t>
        </is>
      </c>
      <c r="B15" t="n">
        <v>7</v>
      </c>
      <c r="C15">
        <f>COUNTIFS('Senarai Semak'!$F$6:$F$261,"L",'Senarai Semak'!$D$6:$D$261,"Ya")</f>
        <v/>
      </c>
      <c r="D15">
        <f>COUNTIFS('Senarai Semak'!$F$6:$F$261,"L",'Senarai Semak'!$D$6:$D$261,"Tidak")</f>
        <v/>
      </c>
      <c r="E15">
        <f>COUNTIFS('Senarai Semak'!$F$6:$F$261,"L",'Senarai Semak'!$D$6:$D$261,"TB")</f>
        <v/>
      </c>
      <c r="F15">
        <f>B15-C15-D15-E15</f>
        <v/>
      </c>
      <c r="G15" s="10">
        <f>IF(C15+D15=0,"",C15/(C15+D15))</f>
        <v/>
      </c>
    </row>
    <row r="16">
      <c r="A16" t="inlineStr">
        <is>
          <t>M: Pekerja, Latihan &amp; Kemudahan Pekerja</t>
        </is>
      </c>
      <c r="B16" t="n">
        <v>23</v>
      </c>
      <c r="C16">
        <f>COUNTIFS('Senarai Semak'!$F$6:$F$261,"M",'Senarai Semak'!$D$6:$D$261,"Ya")</f>
        <v/>
      </c>
      <c r="D16">
        <f>COUNTIFS('Senarai Semak'!$F$6:$F$261,"M",'Senarai Semak'!$D$6:$D$261,"Tidak")</f>
        <v/>
      </c>
      <c r="E16">
        <f>COUNTIFS('Senarai Semak'!$F$6:$F$261,"M",'Senarai Semak'!$D$6:$D$261,"TB")</f>
        <v/>
      </c>
      <c r="F16">
        <f>B16-C16-D16-E16</f>
        <v/>
      </c>
      <c r="G16" s="10">
        <f>IF(C16+D16=0,"",C16/(C16+D16))</f>
        <v/>
      </c>
    </row>
    <row r="17">
      <c r="A17" t="inlineStr">
        <is>
          <t>N: Kebolehkesanan, Penarikan Balik &amp; Dokumentasi</t>
        </is>
      </c>
      <c r="B17" t="n">
        <v>14</v>
      </c>
      <c r="C17">
        <f>COUNTIFS('Senarai Semak'!$F$6:$F$261,"N",'Senarai Semak'!$D$6:$D$261,"Ya")</f>
        <v/>
      </c>
      <c r="D17">
        <f>COUNTIFS('Senarai Semak'!$F$6:$F$261,"N",'Senarai Semak'!$D$6:$D$261,"Tidak")</f>
        <v/>
      </c>
      <c r="E17">
        <f>COUNTIFS('Senarai Semak'!$F$6:$F$261,"N",'Senarai Semak'!$D$6:$D$261,"TB")</f>
        <v/>
      </c>
      <c r="F17">
        <f>B17-C17-D17-E17</f>
        <v/>
      </c>
      <c r="G17" s="10">
        <f>IF(C17+D17=0,"",C17/(C17+D17))</f>
        <v/>
      </c>
    </row>
    <row r="18">
      <c r="A18" s="11" t="inlineStr">
        <is>
          <t>Jumlah</t>
        </is>
      </c>
      <c r="B18" s="11">
        <f>SUM(B4:B17)</f>
        <v/>
      </c>
      <c r="C18" s="11">
        <f>SUM(C4:C17)</f>
        <v/>
      </c>
      <c r="D18" s="11">
        <f>SUM(D4:D17)</f>
        <v/>
      </c>
      <c r="E18" s="11">
        <f>SUM(E4:E17)</f>
        <v/>
      </c>
      <c r="F18" s="11">
        <f>SUM(F4:F17)</f>
        <v/>
      </c>
      <c r="G18" s="10">
        <f>IF(C18+D18=0,"",C18/(C18+D18))</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rasmi disemak melalui WebFetch bagi s. 3 hingga 17 dan 18(1) hingga 18(7). Bahagian yang disemak termasuk tafsiran skim OEM (s. 3), kategori industri mengikut nilai perolehan tahunan dalam Jadual 1 di bawah 8(1), fi bagi syarikat luar negara (7(2), 8(2)) dan 17(17). Teks yang boleh diekstrak berhenti di tengah 18(7), dan masalah yang sama berlaku pada salinan humairaglobal, versi web jommohonhalal dan terjemahan MAFF Jepun. Oleh itu 18(8) dan 18(9) dirujuk berdasarkan ringkasan penyelaras (18(8) sama isinya dengan 17(17)), manakala s. 19, 20, 36, 37, 40 dan 41 dirujuk berdasarkan tajuk dalam jadual kandungan sahaja.</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di laman serunai.com, kerana pautan rasmi myehalal dialihkan ke halaman utama. Bahagian yang dibaca: s. 4, 5(1) hingga 5(13), 6(1) hingga 6(3), 7(1), 7(5)(a)(i)-(iv) dan 7(5)(b)(i)-(iv) (Skim Pengilangan Kontrak/OEM), 8, 9 dan senarai lampiran. Penomboran yang dipetik sama seperti yang dicetak dalam manual.</t>
        </is>
      </c>
      <c r="D3" s="14" t="inlineStr">
        <is>
          <t>https://serunai.com/wp-content/uploads/2023/03/SPHM-2020.pdf</t>
        </is>
      </c>
    </row>
    <row r="4">
      <c r="A4" s="14" t="inlineStr">
        <is>
          <t>MS mengikut jenis produk</t>
        </is>
      </c>
      <c r="B4" s="14" t="inlineStr">
        <is>
          <t>MS 1500:2019 Makanan halal – Keperluan umum (Semakan ketiga); MS 2634:2019 Kosmetik halal – Keperluan umum (Semakan pertama); MS 2424:2019 Farmaseutikal halal – Keperluan umum (Semakan pertama); MS 2636:2019 Peranti perubatan halal – Keperluan umum; MS 2738:2023 Barang gunaan halal – Keperluan umum</t>
        </is>
      </c>
      <c r="C4" s="14" t="inlineStr">
        <is>
          <t>Nombor, edisi dan tajuk disahkan dalam katalog rasmi MySOL (JSM). Isi klausa tidak dibaca. Seperti yang dikehendaki taklimat skim, setiap standard hanya dirujuk dalam satu baris untuk menentukan standard yang terpakai, tanpa nombor klausa. MySOL juga menunjukkan bahawa MS 2565:2014 dan MS 2594:2015 telah ditarik balik dan diganti, dan MS 2803:2025 (penggunaan tulang, kulit dan bulu haiwan) telah diterbitkan.</t>
        </is>
      </c>
      <c r="D4" s="14" t="inlineStr">
        <is>
          <t>https://mysol.jsm.gov.my/search-catalogue?keyword=halal</t>
        </is>
      </c>
    </row>
    <row r="5">
      <c r="A5" s="14" t="inlineStr">
        <is>
          <t>Perintah Perakuan &amp; Penandaan Halal 2011</t>
        </is>
      </c>
      <c r="B5" s="14" t="inlineStr">
        <is>
          <t>Perintah Perihal Dagangan (Perakuan dan Penandaan Halal) 2011 (P.U.(A) 431/2011) di bawah Akta Perihal Dagangan 2011, seperti dipinda dari semasa ke semasa (termasuk P.U.(A) 62/2025 dan P.U.(A) 313/2025)</t>
        </is>
      </c>
      <c r="C5" s="14" t="inlineStr">
        <is>
          <t>Teks warta dibaca bagi perenggan 2 (perkhidmatan berhubung makanan atau barang, termasuk pemprosesan bahan mentah), 3, 4(1), 4(2), 5, 6 dan 8. Pindaan 2025 yang disemak hanya meminda Jadual Kedua (badan pensijilan luar negara yang diiktiraf), dan dibaca melalui terjemahan sementara MAFF Jepun. Jadual Kedua dipinda berulang kali, jadi gunakan senarai terkini.</t>
        </is>
      </c>
      <c r="D5" s="14" t="inlineStr">
        <is>
          <t>https://login.totalweblite.com/Clients/halalfood/431wartaperakuanhalal.pdf</t>
        </is>
      </c>
    </row>
    <row r="6">
      <c r="A6" s="14" t="inlineStr">
        <is>
          <t>Perintah Takrif Halal 2011</t>
        </is>
      </c>
      <c r="B6" s="14" t="inlineStr">
        <is>
          <t>Perintah Perihal Dagangan (Takrif Halal) 2011 (P.U.(A) 430/2011)</t>
        </is>
      </c>
      <c r="C6" s="14" t="inlineStr">
        <is>
          <t>Terjemahan sementara rasmi oleh MAFF Jepun dibaca bagi perenggan 2 hingga 5, iaitu takrif halal 3(1)(a)-(g), perkhidmatan halal 3(2), dan representasi mengelirukan 4(1) dan 4(2).</t>
        </is>
      </c>
      <c r="D6" s="14" t="inlineStr">
        <is>
          <t>https://www.maff.go.jp/j/yusyutu_kokusai/kokuchi/halal.kosher/attach/pdf/malaysia_halal_law_list-1.pdf</t>
        </is>
      </c>
    </row>
    <row r="7">
      <c r="A7" s="14" t="inlineStr">
        <is>
          <t>PM 1985</t>
        </is>
      </c>
      <c r="B7" s="14" t="inlineStr">
        <is>
          <t>Peraturan-Peraturan Makanan 1985 (P.U.(A) 437/1985)</t>
        </is>
      </c>
      <c r="C7" s="14" t="inlineStr">
        <is>
          <t>Teks penuh (salinan yang disatukan dengan pindaan) dibaca bagi per. 11(1), iaitu butiran label. Peraturan ini dipetik bagi OEM makanan sahaja.</t>
        </is>
      </c>
      <c r="D7" s="14" t="inlineStr">
        <is>
          <t>https://www.foodipedia.my/food-regulations-1985.pdf</t>
        </is>
      </c>
    </row>
    <row r="8">
      <c r="A8" s="14" t="inlineStr">
        <is>
          <t>PKM</t>
        </is>
      </c>
      <c r="B8" s="14" t="inlineStr">
        <is>
          <t>Peraturan-Peraturan Kebersihan Makanan 2009 (P.U.(A) 95/2009)</t>
        </is>
      </c>
      <c r="C8" s="14" t="inlineStr">
        <is>
          <t>Nombor peraturan telah disahkan daripada teks penuh FAOLEX (senarai asas). Peraturan yang dipetik, bagi OEM makanan sahaja: per. 9 dan Jadual Ketiga (program jaminan keselamatan makanan), per. 10 (sistem kebolehkesanan), per. 11 (penyimpanan rekod), per. 30 (latihan pengendali makanan) dan per. 31 (pemeriksaan perubatan dan suntikan pengendali makanan).</t>
        </is>
      </c>
      <c r="D8" s="14" t="inlineStr">
        <is>
          <t>https://faolex.fao.org/docs/pdf/mal91581.pdf</t>
        </is>
      </c>
    </row>
    <row r="9">
      <c r="A9" s="14" t="inlineStr">
        <is>
          <t>Akta Makanan 1983</t>
        </is>
      </c>
      <c r="B9" s="14" t="inlineStr">
        <is>
          <t>Akta Makanan 1983 (Akta 281)</t>
        </is>
      </c>
      <c r="C9" s="14" t="inlineStr">
        <is>
          <t>Akta ini dinamakan dalam MPPHM 18(1)(e). Teks akta tidak dibaca dalam sesi ini, jadi ia dirujuk melalui MPPHM sahaja, tanpa nombor seksyen.</t>
        </is>
      </c>
      <c r="D9" s="14" t="inlineStr"/>
    </row>
    <row r="10">
      <c r="A10" s="14" t="inlineStr">
        <is>
          <t>Perundangan NPRA</t>
        </is>
      </c>
      <c r="B10" s="14" t="inlineStr">
        <is>
          <t>Peraturan-Peraturan Kawalan Dadah dan Kosmetik 1984; Akta Jualan Dadah 1952; Guidelines for Control of Cosmetic Products in Malaysia (termasuk Annex I Part 10, GMP kosmetik); Drug Registration Guidance Document (DRGD)</t>
        </is>
      </c>
      <c r="C10" s="14" t="inlineStr">
        <is>
          <t>Instrumen ini dinamakan dalam MPPHM 18(2) dan 18(3), yang teksnya dibaca. Teks perundangan dan garis panduan itu sendiri tidak dibaca, jadi semuanya dirujuk melalui MPPHM tanpa nombor peruntukan.</t>
        </is>
      </c>
      <c r="D10" s="14" t="inlineStr"/>
    </row>
    <row r="11">
      <c r="A11" s="14" t="inlineStr">
        <is>
          <t>Akta 737</t>
        </is>
      </c>
      <c r="B11" s="14" t="inlineStr">
        <is>
          <t>Akta Peranti Perubatan 2012 (Akta 737) dan peraturan di bawahnya</t>
        </is>
      </c>
      <c r="C11" s="14" t="inlineStr">
        <is>
          <t>Akta ini dinamakan dalam MPPHM 18(9) menurut ringkasan penyelaras, kerana teks 18(9) tidak dapat diekstrak. Teks akta tidak dibaca.</t>
        </is>
      </c>
      <c r="D11" s="14" t="inlineStr"/>
    </row>
    <row r="12">
      <c r="A12" s="14" t="inlineStr">
        <is>
          <t>FAQ Halal Khidmat Islam Sarawak</t>
        </is>
      </c>
      <c r="B12" s="14" t="inlineStr">
        <is>
          <t>Soalan Lazim Halal, portal Khidmat Islam Sarawak (kerajaan negeri Sarawak)</t>
        </is>
      </c>
      <c r="C12" s="14" t="inlineStr">
        <is>
          <t>Laman rasmi kerajaan negeri dibaca. Soalan berkaitan OEM menyatakan tiga perkara: pengilang mesti memegang SPHM skim OEM sebelum menawarkan perkhidmatan; pemilik jenama boleh memohon atas nama sendiri jika pengilangnya memegang SPHM skim OEM yang sah; dan pemilik jenama mesti memohon bagi semua kilang yang mengeluarkan produk yang sama. Laman ini juga menyatakan bahawa skim yang berbeza memerlukan permohonan berasingan.</t>
        </is>
      </c>
      <c r="D12" s="14" t="inlineStr">
        <is>
          <t>https://kiswa.sarawak.gov.my/kiswa/main/portal/halal_faq</t>
        </is>
      </c>
    </row>
    <row r="13">
      <c r="A13" s="14" t="inlineStr">
        <is>
          <t>Fatwa alkohol</t>
        </is>
      </c>
      <c r="B13" s="14" t="inlineStr">
        <is>
          <t>Keputusan Muzakarah Khas Jawatankuasa Fatwa Majlis Kebangsaan bagi Hal Ehwal Ugama Islam Malaysia (14-16 Julai 2011) tentang alkohol dalam makanan, minuman, pewangi dan ubat-ubatan</t>
        </is>
      </c>
      <c r="C13" s="14" t="inlineStr">
        <is>
          <t>Sumber kedua rasmi: artikel Al-Kafi #1737 oleh Pejabat Mufti Wilayah Persekutuan, yang memetik keputusan Muzakarah tersebut, termasuk had 0.5% bagi perisa atau pewarna beralkohol untuk penstabilan dalam makanan dan minuman.</t>
        </is>
      </c>
      <c r="D13" s="14" t="inlineStr">
        <is>
          <t>https://muftiwp.gov.my/en/artikel/al-kafi-li-al-fatawi/4554-al-kafi-1737-hukum-menggunakan-sake-sejenis-arak-dalam-produk-kosmetik</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2026-10-06T15:30:13Z</dcterms:created>
  <dcterms:modified xmlns:dcterms="http://purl.org/dc/terms/" xmlns:xsi="http://www.w3.org/2001/XMLSchema-instance" xsi:type="dcterms:W3CDTF">2026-10-06T15:30:13Z</dcterms:modified>
</cp:coreProperties>
</file>