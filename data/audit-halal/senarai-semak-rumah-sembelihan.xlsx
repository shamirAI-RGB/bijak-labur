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Semak'!$A$1:$E$267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67"/>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Rumah Sembelihan</t>
        </is>
      </c>
    </row>
    <row r="2">
      <c r="A2" t="inlineStr">
        <is>
          <t>Premis/syarikat: ______________________________   Jenis haiwan / kaedah: __________   Tarikh: ____________   Juruaudit: ______________________</t>
        </is>
      </c>
    </row>
    <row r="3" ht="28" customHeight="1">
      <c r="A3" s="2" t="inlineStr">
        <is>
          <t>Ya = patuh, Tidak = tidak patuh, TB = tidak berkaitan. Rujukan bertanda * = hanya tajuk klausa disahkan dari pratonton rasmi JSM; isi diringkaskan.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&amp; Skop Permohonan</t>
        </is>
      </c>
      <c r="B6" s="5" t="n"/>
      <c r="C6" s="5" t="n"/>
      <c r="D6" s="5" t="n"/>
      <c r="E6" s="6" t="n"/>
    </row>
    <row r="7" ht="26" customHeight="1">
      <c r="A7" s="2" t="inlineStr">
        <is>
          <t>Semak dokumen pendaftaran, lesen, perakuan JPV dan skop permohonan dalam MYeHALAL, kemudian sahkan dengan operasi sebenar rumah sembelihan.</t>
        </is>
      </c>
    </row>
    <row r="8">
      <c r="A8" s="7" t="inlineStr">
        <is>
          <t>A1</t>
        </is>
      </c>
      <c r="B8" s="7" t="inlineStr">
        <is>
          <t>Pendaftaran perniagaan (SSM, koperasi atau dokumen penubuhan) masih sah, dan nama serta alamatnya sama dengan permohonan Sijil Pengesahan Halal Malaysia (SPHM).</t>
        </is>
      </c>
      <c r="C8" s="7" t="inlineStr">
        <is>
          <t>MPPHM 5(1)</t>
        </is>
      </c>
      <c r="D8" s="7" t="inlineStr"/>
      <c r="E8" s="7" t="inlineStr"/>
      <c r="F8" t="inlineStr">
        <is>
          <t>A</t>
        </is>
      </c>
    </row>
    <row r="9">
      <c r="A9" s="7" t="inlineStr">
        <is>
          <t>A2</t>
        </is>
      </c>
      <c r="B9" s="7" t="inlineStr">
        <is>
          <t>Lesen operasi rumah sembelihan daripada Pihak Berkuasa Tempatan (PBT), atau dokumen sokongan agensi kerajaan yang berkaitan, masih sah dan sepadan dengan alamat serta aktiviti premis.</t>
        </is>
      </c>
      <c r="C9" s="7" t="inlineStr">
        <is>
          <t>MPPHM 5(2); Skim VHM JPV</t>
        </is>
      </c>
      <c r="D9" s="7" t="inlineStr"/>
      <c r="E9" s="7" t="inlineStr"/>
      <c r="F9" t="inlineStr">
        <is>
          <t>A</t>
        </is>
      </c>
    </row>
    <row r="10">
      <c r="A10" s="7" t="inlineStr">
        <is>
          <t>A3</t>
        </is>
      </c>
      <c r="B10" s="7" t="inlineStr">
        <is>
          <t>Sijil Skim Pensijilan Veterinar (Veterinary Health Mark, VHM), atau surat perakuan atau surat sokongan JPV, masih sah dan meliputi premis serta jenis haiwan yang dipohon.</t>
        </is>
      </c>
      <c r="C10" s="7" t="inlineStr">
        <is>
          <t>MPPHM 5(4), 18(7)(b); MHMS Lampiran E</t>
        </is>
      </c>
      <c r="D10" s="7" t="inlineStr"/>
      <c r="E10" s="7" t="inlineStr"/>
      <c r="F10" t="inlineStr">
        <is>
          <t>A</t>
        </is>
      </c>
    </row>
    <row r="11">
      <c r="A11" s="7" t="inlineStr">
        <is>
          <t>A4</t>
        </is>
      </c>
      <c r="B11" s="7" t="inlineStr">
        <is>
          <t>Prasyarat VHM dipenuhi: ID premis JPV, dan rekod pelaksanaan GMP serta HACCP sekurang-kurangnya 3 bulan tersedia. Program jaminan keselamatan makanan (HACCP/GMP) didokumenkan dan dilaksanakan.</t>
        </is>
      </c>
      <c r="C11" s="7" t="inlineStr">
        <is>
          <t>Skim VHM JPV; MPPHM 17(8)(i); PKM per. 9</t>
        </is>
      </c>
      <c r="D11" s="7" t="inlineStr"/>
      <c r="E11" s="7" t="inlineStr"/>
      <c r="F11" t="inlineStr">
        <is>
          <t>A</t>
        </is>
      </c>
    </row>
    <row r="12">
      <c r="A12" s="7" t="inlineStr">
        <is>
          <t>A5</t>
        </is>
      </c>
      <c r="B12" s="7" t="inlineStr">
        <is>
          <t>Rumah sembelihan yang diswastakan: lesen pengendali yang diberikan oleh Menteri masih sah, dan syarat lesen (tempoh, fi tahunan, tugas khusus dan syarat lain) dipatuhi.</t>
        </is>
      </c>
      <c r="C12" s="7" t="inlineStr">
        <is>
          <t>Akta 507 s. 3(2), 4</t>
        </is>
      </c>
      <c r="D12" s="7" t="inlineStr"/>
      <c r="E12" s="7" t="inlineStr"/>
      <c r="F12" t="inlineStr">
        <is>
          <t>A</t>
        </is>
      </c>
    </row>
    <row r="13">
      <c r="A13" s="7" t="inlineStr">
        <is>
          <t>A6</t>
        </is>
      </c>
      <c r="B13" s="7" t="inlineStr">
        <is>
          <t>Rumah sembelihan yang diswastakan: perkhidmatan memenuhi standard prestasi yang ditetapkan Ketua Pengarah Perkhidmatan Veterinar, dan operasi dijalankan dalam keadaan bersih, cekap dan selamat.</t>
        </is>
      </c>
      <c r="C13" s="7" t="inlineStr">
        <is>
          <t>Akta 507 s. 6</t>
        </is>
      </c>
      <c r="D13" s="7" t="inlineStr"/>
      <c r="E13" s="7" t="inlineStr"/>
      <c r="F13" t="inlineStr">
        <is>
          <t>A</t>
        </is>
      </c>
    </row>
    <row r="14">
      <c r="A14" s="7" t="inlineStr">
        <is>
          <t>A7</t>
        </is>
      </c>
      <c r="B14" s="7" t="inlineStr">
        <is>
          <t>Sabah: lesen rumah sembelihan masih sah (diperbaharui setiap tahun dan tamat pada 31 Disember) dan tidak dipindah milik tanpa kebenaran bertulis Pengarah.</t>
        </is>
      </c>
      <c r="C14" s="7" t="inlineStr">
        <is>
          <t>Kaedah Rumah Sembelihan Sabah k. 4</t>
        </is>
      </c>
      <c r="D14" s="7" t="inlineStr"/>
      <c r="E14" s="7" t="inlineStr"/>
      <c r="F14" t="inlineStr">
        <is>
          <t>A</t>
        </is>
      </c>
    </row>
    <row r="15">
      <c r="A15" s="7" t="inlineStr">
        <is>
          <t>A8</t>
        </is>
      </c>
      <c r="B15" s="7" t="inlineStr">
        <is>
          <t>Semenanjung dan Labuan: lesen bagi aktiviti penyembelihan haiwan di bawah Akta Kebajikan Haiwan 2015 dipegang dan masih sah.</t>
        </is>
      </c>
      <c r="C15" s="7" t="inlineStr">
        <is>
          <t>Akta Kebajikan Haiwan 2015 s. 1(2), 15(1), Jadual</t>
        </is>
      </c>
      <c r="D15" s="7" t="inlineStr"/>
      <c r="E15" s="7" t="inlineStr"/>
      <c r="F15" t="inlineStr">
        <is>
          <t>A</t>
        </is>
      </c>
    </row>
    <row r="16">
      <c r="A16" s="7" t="inlineStr">
        <is>
          <t>A9</t>
        </is>
      </c>
      <c r="B16" s="7" t="inlineStr">
        <is>
          <t>Jika bahagian pemotongan atau pemprosesan daging tertakluk kepada pendaftaran premis makanan KKM, Perakuan Pendaftaran Premis Makanan masih sah dan dipamerkan.</t>
        </is>
      </c>
      <c r="C16" s="7" t="inlineStr">
        <is>
          <t>MPPHM 5(3); PKM per. 3, 8(1)</t>
        </is>
      </c>
      <c r="D16" s="7" t="inlineStr"/>
      <c r="E16" s="7" t="inlineStr"/>
      <c r="F16" t="inlineStr">
        <is>
          <t>A</t>
        </is>
      </c>
    </row>
    <row r="17">
      <c r="A17" s="7" t="inlineStr">
        <is>
          <t>A10</t>
        </is>
      </c>
      <c r="B17" s="7" t="inlineStr">
        <is>
          <t>Jika premis berdaftar sebagai premis makanan KKM: pendaftaran diperbaharui sekurang-kurangnya 30 hari sebelum tamat tempoh.</t>
        </is>
      </c>
      <c r="C17" s="7" t="inlineStr">
        <is>
          <t>PKM per. 6, 7</t>
        </is>
      </c>
      <c r="D17" s="7" t="inlineStr"/>
      <c r="E17" s="7" t="inlineStr"/>
      <c r="F17" t="inlineStr">
        <is>
          <t>A</t>
        </is>
      </c>
    </row>
    <row r="18">
      <c r="A18" s="7" t="inlineStr">
        <is>
          <t>A11</t>
        </is>
      </c>
      <c r="B18" s="7" t="inlineStr">
        <is>
          <t>Premis ialah rumah sembelihan haiwan halal untuk tujuan komersial bagi spesies dalam skop skim: poltri (ayam, itik, puyuh, angsa, ayam belanda, burung unta, burung merpati), ruminan (kambing, biri-biri, rusa, lembu, kerbau, unta), arnab dan landak.</t>
        </is>
      </c>
      <c r="C18" s="7" t="inlineStr">
        <is>
          <t>MPPHM 18(7)(a)</t>
        </is>
      </c>
      <c r="D18" s="7" t="inlineStr"/>
      <c r="E18" s="7" t="inlineStr"/>
      <c r="F18" t="inlineStr">
        <is>
          <t>A</t>
        </is>
      </c>
    </row>
    <row r="19">
      <c r="A19" s="7" t="inlineStr">
        <is>
          <t>A12</t>
        </is>
      </c>
      <c r="B19" s="7" t="inlineStr">
        <is>
          <t>Premis telah beroperasi sepenuhnya sekurang-kurangnya 3 bulan sebelum memohon (pemohon baharu), atau sekurang-kurangnya 1 bulan di premis baharu (pindah premis).</t>
        </is>
      </c>
      <c r="C19" s="7" t="inlineStr">
        <is>
          <t>MPPHM 5(7), 5(8)</t>
        </is>
      </c>
      <c r="D19" s="7" t="inlineStr"/>
      <c r="E19" s="7" t="inlineStr"/>
      <c r="F19" t="inlineStr">
        <is>
          <t>A</t>
        </is>
      </c>
    </row>
    <row r="20">
      <c r="A20" s="7" t="inlineStr">
        <is>
          <t>A13</t>
        </is>
      </c>
      <c r="B20" s="7" t="inlineStr">
        <is>
          <t>Syarikat hanya menyembelih, memproses dan mengendalikan haiwan serta produk halal, termasuk produk dagangan, dan tidak mengusahakan sembelihan atau perniagaan produk tidak halal di mana-mana premisnya.</t>
        </is>
      </c>
      <c r="C20" s="7" t="inlineStr">
        <is>
          <t>MPPHM 5(9), 6(1), 6(2)</t>
        </is>
      </c>
      <c r="D20" s="7" t="inlineStr"/>
      <c r="E20" s="7" t="inlineStr"/>
      <c r="F20" t="inlineStr">
        <is>
          <t>A</t>
        </is>
      </c>
    </row>
    <row r="21">
      <c r="A21" s="7" t="inlineStr">
        <is>
          <t>A14</t>
        </is>
      </c>
      <c r="B21" s="7" t="inlineStr">
        <is>
          <t>Jenama yang sama tidak digunakan bagi produk halal dan produk tidak halal.</t>
        </is>
      </c>
      <c r="C21" s="7" t="inlineStr">
        <is>
          <t>MPPHM 6(3)</t>
        </is>
      </c>
      <c r="D21" s="7" t="inlineStr"/>
      <c r="E21" s="7" t="inlineStr"/>
      <c r="F21" t="inlineStr">
        <is>
          <t>A</t>
        </is>
      </c>
    </row>
    <row r="22">
      <c r="A22" s="7" t="inlineStr">
        <is>
          <t>A15</t>
        </is>
      </c>
      <c r="B22" s="7" t="inlineStr">
        <is>
          <t>Semua produk yang masih dikeluarkan (karkas, potongan, organ boleh dimakan, kaki, kepala dan lain-lain) dipohon SPHM, dan tiada produk yang dijual sebagai halal tanpa diisytiharkan.</t>
        </is>
      </c>
      <c r="C22" s="7" t="inlineStr">
        <is>
          <t>MPPHM 5(10), 17(2)(b)</t>
        </is>
      </c>
      <c r="D22" s="7" t="inlineStr"/>
      <c r="E22" s="7" t="inlineStr"/>
      <c r="F22" t="inlineStr">
        <is>
          <t>A</t>
        </is>
      </c>
    </row>
    <row r="23">
      <c r="A23" s="7" t="inlineStr">
        <is>
          <t>A16</t>
        </is>
      </c>
      <c r="B23" s="7" t="inlineStr">
        <is>
          <t>Senarai produk dalam permohonan disemak dengan rekod pengeluaran, dan produk yang tidak diproses sepanjang tempoh sah SPHM terdahulu dikenal pasti (produk ini boleh digugurkan daripada senarai permohonan).</t>
        </is>
      </c>
      <c r="C23" s="7" t="inlineStr">
        <is>
          <t>MPPHM 17(2)(e)</t>
        </is>
      </c>
      <c r="D23" s="7" t="inlineStr"/>
      <c r="E23" s="7" t="inlineStr"/>
      <c r="F23" t="inlineStr">
        <is>
          <t>A</t>
        </is>
      </c>
    </row>
    <row r="24">
      <c r="A24" s="7" t="inlineStr">
        <is>
          <t>A17</t>
        </is>
      </c>
      <c r="B24" s="7" t="inlineStr">
        <is>
          <t>Nama syarikat, premis, jenama dan produk tidak menggunakan perkataan 'halal' atau nama yang merujuk kepada produk tidak halal.</t>
        </is>
      </c>
      <c r="C24" s="7" t="inlineStr">
        <is>
          <t>MPPHM 5(12), 6(7)</t>
        </is>
      </c>
      <c r="D24" s="7" t="inlineStr"/>
      <c r="E24" s="7" t="inlineStr"/>
      <c r="F24" t="inlineStr">
        <is>
          <t>A</t>
        </is>
      </c>
    </row>
    <row r="25">
      <c r="A25" s="7" t="inlineStr">
        <is>
          <t>A18</t>
        </is>
      </c>
      <c r="B25" s="7" t="inlineStr">
        <is>
          <t>Karkas atau daging yang diterima daripada rumah sembelihan lain untuk dipotong, dibungkus semula atau dijual mempunyai sijil halal yang sah dan dokumen sumber yang jelas.</t>
        </is>
      </c>
      <c r="C25" s="7" t="inlineStr">
        <is>
          <t>MPPHM 5(11), 17(1)(b), 17(1)(f)</t>
        </is>
      </c>
      <c r="D25" s="7" t="inlineStr"/>
      <c r="E25" s="7" t="inlineStr"/>
      <c r="F25" t="inlineStr">
        <is>
          <t>A</t>
        </is>
      </c>
    </row>
    <row r="26">
      <c r="A26" s="7" t="inlineStr">
        <is>
          <t>A19</t>
        </is>
      </c>
      <c r="B26" s="7" t="inlineStr">
        <is>
          <t>Daging atau karkas import (jika dikendalikan) berasal daripada loji yang diluluskan JPV dan disijilkan oleh badan pensijilan halal luar negara yang diiktiraf JAKIM, dengan nama badan itu tertera pada produk.</t>
        </is>
      </c>
      <c r="C26" s="7" t="inlineStr">
        <is>
          <t>MPPHM 17(1)(c); Perintah Perakuan &amp; Penandaan Halal 2011 perenggan 5</t>
        </is>
      </c>
      <c r="D26" s="7" t="inlineStr"/>
      <c r="E26" s="7" t="inlineStr"/>
      <c r="F26" t="inlineStr">
        <is>
          <t>A</t>
        </is>
      </c>
    </row>
    <row r="27">
      <c r="A27" s="7" t="inlineStr">
        <is>
          <t>A20</t>
        </is>
      </c>
      <c r="B27" s="7" t="inlineStr">
        <is>
          <t>Daging atau karkas import yang hanya dibungkus atau dilabel semula tanpa diproses di premis ini tidak dimasukkan dalam permohonan SPHM.</t>
        </is>
      </c>
      <c r="C27" s="7" t="inlineStr">
        <is>
          <t>MPPHM 6(8)</t>
        </is>
      </c>
      <c r="D27" s="7" t="inlineStr"/>
      <c r="E27" s="7" t="inlineStr"/>
      <c r="F27" t="inlineStr">
        <is>
          <t>A</t>
        </is>
      </c>
    </row>
    <row r="28">
      <c r="A28" s="4" t="inlineStr">
        <is>
          <t>Bahagian B: Pengurusan Halal &amp; MHMS mengikut Saiz Industri</t>
        </is>
      </c>
      <c r="B28" s="5" t="n"/>
      <c r="C28" s="5" t="n"/>
      <c r="D28" s="5" t="n"/>
      <c r="E28" s="6" t="n"/>
    </row>
    <row r="29" ht="26" customHeight="1">
      <c r="A29" s="2" t="inlineStr">
        <is>
          <t>Semak manual HAS atau IHCS, surat lantikan, carta organisasi, minit JKHD dan laporan audit dalaman, kemudian sahkan melalui temu bual dengan pengurusan, Eksekutif atau Penyelia Halal, penyembelih dan pemeriksa halal.</t>
        </is>
      </c>
    </row>
    <row r="30">
      <c r="A30" s="7" t="inlineStr">
        <is>
          <t>B1</t>
        </is>
      </c>
      <c r="B30" s="7" t="inlineStr">
        <is>
          <t>Saiz industri yang diisytiharkan (besar, sederhana atau kecil) sepadan dengan keadaan sebenar syarikat, dan sistem yang dilaksanakan sepadan dengan saiz itu: Sistem Jaminan Halal (HAS) bagi industri besar dan sederhana, Sistem Kawalan Halal Dalaman (IHCS) bagi industri kecil.</t>
        </is>
      </c>
      <c r="C30" s="7" t="inlineStr">
        <is>
          <t>MPPHM 18(7)(f); MHMS 7(3)</t>
        </is>
      </c>
      <c r="D30" s="7" t="inlineStr"/>
      <c r="E30" s="7" t="inlineStr"/>
      <c r="F30" t="inlineStr">
        <is>
          <t>B</t>
        </is>
      </c>
    </row>
    <row r="31">
      <c r="A31" s="7" t="inlineStr">
        <is>
          <t>B2</t>
        </is>
      </c>
      <c r="B31" s="7" t="inlineStr">
        <is>
          <t>Pengurusan atasan menunjukkan komitmen terhadap halal: tanggungjawab ditetapkan, dan dana, infrastruktur serta tenaga kerja (termasuk penyembelih dan pemeriksa halal yang mencukupi) disediakan.</t>
        </is>
      </c>
      <c r="C31" s="7" t="inlineStr">
        <is>
          <t>MS 1500:2019 kl. 4.1*</t>
        </is>
      </c>
      <c r="D31" s="7" t="inlineStr"/>
      <c r="E31" s="7" t="inlineStr"/>
      <c r="F31" t="inlineStr">
        <is>
          <t>B</t>
        </is>
      </c>
    </row>
    <row r="32">
      <c r="A32" s="7" t="inlineStr">
        <is>
          <t>B3</t>
        </is>
      </c>
      <c r="B32" s="7" t="inlineStr">
        <is>
          <t>Polisi halal bertulis diluluskan pengurusan atasan, dipamerkan, dan dapat diterangkan oleh pekerja yang ditemu bual, termasuk penyembelih dan pemeriksa halal.</t>
        </is>
      </c>
      <c r="C32" s="7" t="inlineStr">
        <is>
          <t>MHMS 5(2), 6, 7(3)(b)</t>
        </is>
      </c>
      <c r="D32" s="7" t="inlineStr"/>
      <c r="E32" s="7" t="inlineStr"/>
      <c r="F32" t="inlineStr">
        <is>
          <t>B</t>
        </is>
      </c>
    </row>
    <row r="33">
      <c r="A33" s="7" t="inlineStr">
        <is>
          <t>B4</t>
        </is>
      </c>
      <c r="B33" s="7" t="inlineStr">
        <is>
          <t>Besar/sederhana: sekurang-kurangnya 2 penyembelih dan 1 pemeriksa halal berjawatan tetap dilantik dan bertugas sepanjang tempoh operasi atau syif.</t>
        </is>
      </c>
      <c r="C33" s="7" t="inlineStr">
        <is>
          <t>MPPHM 18(7)(f)(i)(a)</t>
        </is>
      </c>
      <c r="D33" s="7" t="inlineStr"/>
      <c r="E33" s="7" t="inlineStr"/>
      <c r="F33" t="inlineStr">
        <is>
          <t>B</t>
        </is>
      </c>
    </row>
    <row r="34">
      <c r="A34" s="7" t="inlineStr">
        <is>
          <t>B5</t>
        </is>
      </c>
      <c r="B34" s="7" t="inlineStr">
        <is>
          <t>Besar/sederhana: Eksekutif Halal dilantik secara bertulis oleh pengurusan atasan di setiap cawangan premis.</t>
        </is>
      </c>
      <c r="C34" s="7" t="inlineStr">
        <is>
          <t>MPPHM 18(7)(f)(i)(b); MHMS 5(3), 7(3)(a)</t>
        </is>
      </c>
      <c r="D34" s="7" t="inlineStr"/>
      <c r="E34" s="7" t="inlineStr"/>
      <c r="F34" t="inlineStr">
        <is>
          <t>B</t>
        </is>
      </c>
    </row>
    <row r="35">
      <c r="A35" s="7" t="inlineStr">
        <is>
          <t>B6</t>
        </is>
      </c>
      <c r="B35" s="7" t="inlineStr">
        <is>
          <t>Besar/sederhana: Eksekutif Halal memenuhi kelayakan, iaitu Muslim, warganegara Malaysia, berjawatan tetap, berkelulusan sekurang-kurangnya Diploma Pengurusan Halal atau setara atau berpengalaman 5 tahun dalam pengurusan halal, dan memiliki Sijil Eksekutif Halal daripada penyedia latihan berdaftar dengan HPB JAKIM.</t>
        </is>
      </c>
      <c r="C35" s="7" t="inlineStr">
        <is>
          <t>MPPHM 3; MHMS 5(3) (Eksekutif Halal)</t>
        </is>
      </c>
      <c r="D35" s="7" t="inlineStr"/>
      <c r="E35" s="7" t="inlineStr"/>
      <c r="F35" t="inlineStr">
        <is>
          <t>B</t>
        </is>
      </c>
    </row>
    <row r="36">
      <c r="A36" s="7" t="inlineStr">
        <is>
          <t>B7</t>
        </is>
      </c>
      <c r="B36" s="7" t="inlineStr">
        <is>
          <t>Besar/sederhana: Jawatankuasa Halal Dalaman (JKHD) ditubuhkan secara rasmi bagi premis dengan sekurang-kurangnya 4 ahli (pengerusi, Eksekutif Halal, wakil pembelian dan wakil pemprosesan), termasuk sekurang-kurangnya seorang penyelia dan/atau penyembelih.</t>
        </is>
      </c>
      <c r="C36" s="7" t="inlineStr">
        <is>
          <t>MPPHM 18(7)(f)(i)(c); MHMS 5(4), 7(3)(a)</t>
        </is>
      </c>
      <c r="D36" s="7" t="inlineStr"/>
      <c r="E36" s="7" t="inlineStr"/>
      <c r="F36" t="inlineStr">
        <is>
          <t>B</t>
        </is>
      </c>
    </row>
    <row r="37">
      <c r="A37" s="7" t="inlineStr">
        <is>
          <t>B8</t>
        </is>
      </c>
      <c r="B37" s="7" t="inlineStr">
        <is>
          <t>Besar/sederhana: JKHD bermesyuarat sekurang-kurangnya 2 kali setahun, dan keputusan mesyuarat direkodkan serta dikemukakan kepada pengurusan atasan untuk kelulusan.</t>
        </is>
      </c>
      <c r="C37" s="7" t="inlineStr">
        <is>
          <t>MHMS 5(4) (JKHD)</t>
        </is>
      </c>
      <c r="D37" s="7" t="inlineStr"/>
      <c r="E37" s="7" t="inlineStr"/>
      <c r="F37" t="inlineStr">
        <is>
          <t>B</t>
        </is>
      </c>
    </row>
    <row r="38">
      <c r="A38" s="7" t="inlineStr">
        <is>
          <t>B9</t>
        </is>
      </c>
      <c r="B38" s="7" t="inlineStr">
        <is>
          <t>Besar/sederhana: manual HAS dibangunkan mengikut MHMS 2020, didokumenkan berasingan daripada sistem lain (cth. GMP dan HACCP untuk VHM), selaras dengan operasi sebenar dan diluluskan pengurusan atasan.</t>
        </is>
      </c>
      <c r="C38" s="7" t="inlineStr">
        <is>
          <t>MPPHM 18(7)(f)(i)(d), 20; MHMS 5(1) (Manual HAS), 7(3)(a)</t>
        </is>
      </c>
      <c r="D38" s="7" t="inlineStr"/>
      <c r="E38" s="7" t="inlineStr"/>
      <c r="F38" t="inlineStr">
        <is>
          <t>B</t>
        </is>
      </c>
    </row>
    <row r="39">
      <c r="A39" s="7" t="inlineStr">
        <is>
          <t>B10</t>
        </is>
      </c>
      <c r="B39" s="7" t="inlineStr">
        <is>
          <t>Kecil: sekurang-kurangnya 1 penyembelih dan 1 pemeriksa halal berjawatan tetap dilantik dan bertugas sepanjang tempoh operasi atau syif.</t>
        </is>
      </c>
      <c r="C39" s="7" t="inlineStr">
        <is>
          <t>MPPHM 18(7)(f)(ii)(a)</t>
        </is>
      </c>
      <c r="D39" s="7" t="inlineStr"/>
      <c r="E39" s="7" t="inlineStr"/>
      <c r="F39" t="inlineStr">
        <is>
          <t>B</t>
        </is>
      </c>
    </row>
    <row r="40">
      <c r="A40" s="7" t="inlineStr">
        <is>
          <t>B11</t>
        </is>
      </c>
      <c r="B40" s="7" t="inlineStr">
        <is>
          <t>Kecil: Penyelia Halal (Muslim, warganegara Malaysia, berjawatan tetap) dilantik secara bertulis di setiap cawangan premis.</t>
        </is>
      </c>
      <c r="C40" s="7" t="inlineStr">
        <is>
          <t>MPPHM 3, 18(7)(f)(ii)(b)</t>
        </is>
      </c>
      <c r="D40" s="7" t="inlineStr"/>
      <c r="E40" s="7" t="inlineStr"/>
      <c r="F40" t="inlineStr">
        <is>
          <t>B</t>
        </is>
      </c>
    </row>
    <row r="41">
      <c r="A41" s="7" t="inlineStr">
        <is>
          <t>B12</t>
        </is>
      </c>
      <c r="B41" s="7" t="inlineStr">
        <is>
          <t>Kecil: IHCS dibangunkan dan dilaksanakan dengan polisi halal, prosedur kawalan risiko halal dan prosedur kebolehkesanan.</t>
        </is>
      </c>
      <c r="C41" s="7" t="inlineStr">
        <is>
          <t>MPPHM 18(7)(f)(ii)(c), 19; MHMS 6, 7(3)(b)</t>
        </is>
      </c>
      <c r="D41" s="7" t="inlineStr"/>
      <c r="E41" s="7" t="inlineStr"/>
      <c r="F41" t="inlineStr">
        <is>
          <t>B</t>
        </is>
      </c>
    </row>
    <row r="42">
      <c r="A42" s="7" t="inlineStr">
        <is>
          <t>B13</t>
        </is>
      </c>
      <c r="B42" s="7" t="inlineStr">
        <is>
          <t>Sistem kawalan halal (HAS atau IHCS) dibangunkan, dilaksanakan dan diselenggara mengikut Manual MHMS 2020, termasuk pengemaskinian apabila proses, pembekal atau keperluan berubah.</t>
        </is>
      </c>
      <c r="C42" s="7" t="inlineStr">
        <is>
          <t>MPPHM 17(13)(a)</t>
        </is>
      </c>
      <c r="D42" s="7" t="inlineStr"/>
      <c r="E42" s="7" t="inlineStr"/>
      <c r="F42" t="inlineStr">
        <is>
          <t>B</t>
        </is>
      </c>
    </row>
    <row r="43">
      <c r="A43" s="7" t="inlineStr">
        <is>
          <t>B14</t>
        </is>
      </c>
      <c r="B43" s="7" t="inlineStr">
        <is>
          <t>Titik kawalan halal (HCP) dikenal pasti berdasarkan carta alir proses dan pelan lantai rumah sembelihan, meliputi peringkat seperti penerimaan haiwan, pelalian (jika digunakan), penyembelihan, pendarahan dan pemeriksaan halal, serta penyimpanan (rujuk contoh carta alir poltri dalam MHMS).</t>
        </is>
      </c>
      <c r="C43" s="7" t="inlineStr">
        <is>
          <t>MHMS 5(6), 7(3)(b), Lampiran F2</t>
        </is>
      </c>
      <c r="D43" s="7" t="inlineStr"/>
      <c r="E43" s="7" t="inlineStr"/>
      <c r="F43" t="inlineStr">
        <is>
          <t>B</t>
        </is>
      </c>
    </row>
    <row r="44">
      <c r="A44" s="7" t="inlineStr">
        <is>
          <t>B15</t>
        </is>
      </c>
      <c r="B44" s="7" t="inlineStr">
        <is>
          <t>Bagi setiap HCP, pelan atau prosedur kawalan risiko halal menyatakan risiko halal, kaedah kawalan, kekerapan, PIC, tindakan pembetulan dan rekod (cth. HCP penyembelihan: risiko urat tidak putus dengan sempurna; kawalan pisau tajam dan pisau tambahan; setiap kali sembelihan; penyembelih; haiwan dikeluarkan ke bekas 'non-proper slaughter').</t>
        </is>
      </c>
      <c r="C44" s="7" t="inlineStr">
        <is>
          <t>MHMS 5(6) (Kawalan Risiko Halal), Lampiran H</t>
        </is>
      </c>
      <c r="D44" s="7" t="inlineStr"/>
      <c r="E44" s="7" t="inlineStr"/>
      <c r="F44" t="inlineStr">
        <is>
          <t>B</t>
        </is>
      </c>
    </row>
    <row r="45">
      <c r="A45" s="7" t="inlineStr">
        <is>
          <t>B16</t>
        </is>
      </c>
      <c r="B45" s="7" t="inlineStr">
        <is>
          <t>Eksekutif atau Penyelia Halal memantau operasi sembelihan secara berterusan (cth. tauliah, parameter pelalian, sembelihan dan tempoh pendarahan), dan pemantauan itu direkodkan.</t>
        </is>
      </c>
      <c r="C45" s="7" t="inlineStr">
        <is>
          <t>MPPHM 17(13)(b); MHMS Lampiran C1</t>
        </is>
      </c>
      <c r="D45" s="7" t="inlineStr"/>
      <c r="E45" s="7" t="inlineStr"/>
      <c r="F45" t="inlineStr">
        <is>
          <t>B</t>
        </is>
      </c>
    </row>
    <row r="46">
      <c r="A46" s="7" t="inlineStr">
        <is>
          <t>B17</t>
        </is>
      </c>
      <c r="B46" s="7" t="inlineStr">
        <is>
          <t>HAS: audit halal dalaman dibuat sekurang-kurangnya sekali setahun bagi setiap cawangan oleh juruaudit yang dilantik JKHD dan memegang Sijil Audit Halal Dalaman atau Sijil Eksekutif Halal, menggunakan senarai semak yang merangkumi item rumah sembelihan (tauliah penyembelih, rekod sembelihan, sijil VHM, hayah al-mustaqirrah, parameter pelalian, tempoh pendarahan dan pengasingan haiwan yang tidak sempurna sembelihan).</t>
        </is>
      </c>
      <c r="C46" s="7" t="inlineStr">
        <is>
          <t>MHMS 5(5), Lampiran E</t>
        </is>
      </c>
      <c r="D46" s="7" t="inlineStr"/>
      <c r="E46" s="7" t="inlineStr"/>
      <c r="F46" t="inlineStr">
        <is>
          <t>B</t>
        </is>
      </c>
    </row>
    <row r="47">
      <c r="A47" s="7" t="inlineStr">
        <is>
          <t>B18</t>
        </is>
      </c>
      <c r="B47" s="7" t="inlineStr">
        <is>
          <t>HAS: tindakan pembetulan bagi ketidakakuran audit dalaman diambil dalam tempoh 14 hari (atau tempoh yang dipersetujui) dan disahkan JKHD.</t>
        </is>
      </c>
      <c r="C47" s="7" t="inlineStr">
        <is>
          <t>MHMS 5(5) (Audit Halal Dalaman)</t>
        </is>
      </c>
      <c r="D47" s="7" t="inlineStr"/>
      <c r="E47" s="7" t="inlineStr"/>
      <c r="F47" t="inlineStr">
        <is>
          <t>B</t>
        </is>
      </c>
    </row>
    <row r="48">
      <c r="A48" s="7" t="inlineStr">
        <is>
          <t>B19</t>
        </is>
      </c>
      <c r="B48" s="7" t="inlineStr">
        <is>
          <t>HAS: semakan HAS dibuat oleh JKHD bersama pengurusan tertinggi sekurang-kurangnya sekali setahun, dan keputusannya diluluskan secara bertulis.</t>
        </is>
      </c>
      <c r="C48" s="7" t="inlineStr">
        <is>
          <t>MHMS 5(10) (Semakan HAS)</t>
        </is>
      </c>
      <c r="D48" s="7" t="inlineStr"/>
      <c r="E48" s="7" t="inlineStr"/>
      <c r="F48" t="inlineStr">
        <is>
          <t>B</t>
        </is>
      </c>
    </row>
    <row r="49">
      <c r="A49" s="7" t="inlineStr">
        <is>
          <t>B20</t>
        </is>
      </c>
      <c r="B49" s="7" t="inlineStr">
        <is>
          <t>HAS: prosedur analisis makmal tersedia, dan analisis (cth. DNA spesies daging) dibuat di MyHAC, Jabatan Kimia Malaysia atau makmal Panel Halal yang dilantik apabila timbul keraguan, dengan rekod.</t>
        </is>
      </c>
      <c r="C49" s="7" t="inlineStr">
        <is>
          <t>MHMS 5(11) (Analisis Makmal)</t>
        </is>
      </c>
      <c r="D49" s="7" t="inlineStr"/>
      <c r="E49" s="7" t="inlineStr"/>
      <c r="F49" t="inlineStr">
        <is>
          <t>B</t>
        </is>
      </c>
    </row>
    <row r="50">
      <c r="A50" s="7" t="inlineStr">
        <is>
          <t>B21</t>
        </is>
      </c>
      <c r="B50" s="7" t="inlineStr">
        <is>
          <t>HAS: prosedur penarikan balik produk tersedia, dan latihan penarikan (mock recall) dibuat sekurang-kurangnya sekali setahun.</t>
        </is>
      </c>
      <c r="C50" s="7" t="inlineStr">
        <is>
          <t>MHMS 5(9) (Kebolehkesanan)</t>
        </is>
      </c>
      <c r="D50" s="7" t="inlineStr"/>
      <c r="E50" s="7" t="inlineStr"/>
      <c r="F50" t="inlineStr">
        <is>
          <t>B</t>
        </is>
      </c>
    </row>
    <row r="51">
      <c r="A51" s="7" t="inlineStr">
        <is>
          <t>B22</t>
        </is>
      </c>
      <c r="B51" s="7" t="inlineStr">
        <is>
          <t>Prosedur sertu bertulis (HAS) selaras dengan garis panduan sertu JAKIM, dan pekerja tahu tindakan yang perlu diambil jika berlaku pencemaran najis mughallazah (cth. anjing memasuki dewan sembelihan).</t>
        </is>
      </c>
      <c r="C51" s="7" t="inlineStr">
        <is>
          <t>MHMS 5(12) (Sertu); MPPHM 58; MS 1500:2019 Lampiran A*</t>
        </is>
      </c>
      <c r="D51" s="7" t="inlineStr"/>
      <c r="E51" s="7" t="inlineStr"/>
      <c r="F51" t="inlineStr">
        <is>
          <t>B</t>
        </is>
      </c>
    </row>
    <row r="52">
      <c r="A52" s="7" t="inlineStr">
        <is>
          <t>B23</t>
        </is>
      </c>
      <c r="B52" s="7" t="inlineStr">
        <is>
          <t>Salinan fatwa, pekeliling dan garis panduan halal terkini berkaitan sembelihan dan pelalian disimpan, dan perubahan yang dikehendaki telah dilaksanakan.</t>
        </is>
      </c>
      <c r="C52" s="7" t="inlineStr">
        <is>
          <t>MPPHM 17(16)(b)</t>
        </is>
      </c>
      <c r="D52" s="7" t="inlineStr"/>
      <c r="E52" s="7" t="inlineStr"/>
      <c r="F52" t="inlineStr">
        <is>
          <t>B</t>
        </is>
      </c>
    </row>
    <row r="53">
      <c r="A53" s="7" t="inlineStr">
        <is>
          <t>B24</t>
        </is>
      </c>
      <c r="B53" s="7" t="inlineStr">
        <is>
          <t>Perubahan pembekal, kaedah pelalian, peralatan sembelihan atau proses dinilai dan diluluskan JKHD atau Penyelia Halal sebelum dilaksanakan, dan maklumat dalam MYeHALAL dikemas kini.</t>
        </is>
      </c>
      <c r="C53" s="7" t="inlineStr">
        <is>
          <t>MHMS 5(7); MPPHM 17(1)(g), 60</t>
        </is>
      </c>
      <c r="D53" s="7" t="inlineStr"/>
      <c r="E53" s="7" t="inlineStr"/>
      <c r="F53" t="inlineStr">
        <is>
          <t>B</t>
        </is>
      </c>
    </row>
    <row r="54">
      <c r="A54" s="4" t="inlineStr">
        <is>
          <t>Bahagian C: Premis, Susun Atur &amp; Utiliti</t>
        </is>
      </c>
      <c r="B54" s="5" t="n"/>
      <c r="C54" s="5" t="n"/>
      <c r="D54" s="5" t="n"/>
      <c r="E54" s="6" t="n"/>
    </row>
    <row r="55" ht="26" customHeight="1">
      <c r="A55" s="2" t="inlineStr">
        <is>
          <t>Dengan merujuk pelan lantai, periksa sempadan dan persekitaran premis, aliran dari kawasan pemunggahan haiwan hingga stor produk, struktur bangunan, utiliti, serta pejabat dan tempat tinggal pekerja (jika ada).</t>
        </is>
      </c>
    </row>
    <row r="56">
      <c r="A56" s="7" t="inlineStr">
        <is>
          <t>C1</t>
        </is>
      </c>
      <c r="B56" s="7" t="inlineStr">
        <is>
          <t>Rumah sembelihan dikhususkan untuk penyembelihan haiwan halal dan sembelihan halal sahaja; tiada babi atau haiwan tidak halal dibawa masuk, disimpan atau disembelih di mana-mana bahagian premis.</t>
        </is>
      </c>
      <c r="C56" s="7" t="inlineStr">
        <is>
          <t>MPPHM 18(7)(g)(i)(a), 17(8)(a); MS 1500:2019 kl. 4.2*</t>
        </is>
      </c>
      <c r="D56" s="7" t="inlineStr"/>
      <c r="E56" s="7" t="inlineStr"/>
      <c r="F56" t="inlineStr">
        <is>
          <t>C</t>
        </is>
      </c>
    </row>
    <row r="57">
      <c r="A57" s="7" t="inlineStr">
        <is>
          <t>C2</t>
        </is>
      </c>
      <c r="B57" s="7" t="inlineStr">
        <is>
          <t>Premis terletak jauh daripada sumber pencemaran (cth. ladang babi, rumah sembelihan tidak halal, loji kumbahan, tapak pelupusan sampah), atau pencemaran daripadanya dikawal dengan berkesan.</t>
        </is>
      </c>
      <c r="C57" s="7" t="inlineStr">
        <is>
          <t>MPPHM 17(8)(b); PKM per. 12; MS 1500:2019 kl. 4.2*</t>
        </is>
      </c>
      <c r="D57" s="7" t="inlineStr"/>
      <c r="E57" s="7" t="inlineStr"/>
      <c r="F57" t="inlineStr">
        <is>
          <t>C</t>
        </is>
      </c>
    </row>
    <row r="58">
      <c r="A58" s="7" t="inlineStr">
        <is>
          <t>C3</t>
        </is>
      </c>
      <c r="B58" s="7" t="inlineStr">
        <is>
          <t>Premis berpagar dan dikawal daripada kemasukan anjing, haiwan liar atau peliharaan, serangga dan perosak, dan tiada anjing (termasuk anjing pengawal) dipelihara di kawasan premis.</t>
        </is>
      </c>
      <c r="C58" s="7" t="inlineStr">
        <is>
          <t>MPPHM 17(8)(a), 17(8)(c)</t>
        </is>
      </c>
      <c r="D58" s="7" t="inlineStr"/>
      <c r="E58" s="7" t="inlineStr"/>
      <c r="F58" t="inlineStr">
        <is>
          <t>C</t>
        </is>
      </c>
    </row>
    <row r="59">
      <c r="A59" s="7" t="inlineStr">
        <is>
          <t>C4</t>
        </is>
      </c>
      <c r="B59" s="7" t="inlineStr">
        <is>
          <t>Rumah sembelihan mempunyai kelengkapan untuk penyembelihan, pemprosesan dan penyimpanan produk, dan direka bentuk serta dibina untuk memudahkan pembersihan dan penyahjangkitan.</t>
        </is>
      </c>
      <c r="C59" s="7" t="inlineStr">
        <is>
          <t>MPPHM 18(7)(g)(i)(b), 18(7)(g)(i)(c); PKM per. 13</t>
        </is>
      </c>
      <c r="D59" s="7" t="inlineStr"/>
      <c r="E59" s="7" t="inlineStr"/>
      <c r="F59" t="inlineStr">
        <is>
          <t>C</t>
        </is>
      </c>
    </row>
    <row r="60">
      <c r="A60" s="7" t="inlineStr">
        <is>
          <t>C5</t>
        </is>
      </c>
      <c r="B60" s="7" t="inlineStr">
        <is>
          <t>Ruang yang mencukupi disediakan bagi pemunggahan atau penurunan dan penyimpanan sementara haiwan, penyembelihan, pemprosesan, penyimpanan sementara sebelum diagihkan, pengurusan sisa pepejal dan sistem pengolahan efluen (SPE), serta stor peralatan dan pakaian.</t>
        </is>
      </c>
      <c r="C60" s="7" t="inlineStr">
        <is>
          <t>MPPHM 18(7)(g)(i)(c)</t>
        </is>
      </c>
      <c r="D60" s="7" t="inlineStr"/>
      <c r="E60" s="7" t="inlineStr"/>
      <c r="F60" t="inlineStr">
        <is>
          <t>C</t>
        </is>
      </c>
    </row>
    <row r="61">
      <c r="A61" s="7" t="inlineStr">
        <is>
          <t>C6</t>
        </is>
      </c>
      <c r="B61" s="7" t="inlineStr">
        <is>
          <t>Pelan lantai terkini sepadan dengan susun atur sebenar, dan aliran kerja dari kawasan kotor (haiwan hidup, penyembelihan, pembuangan bulu atau kulit, penyiangan) ke kawasan bersih (pendinginan, pemotongan, pembungkusan) mencegah pencemaran silang.</t>
        </is>
      </c>
      <c r="C61" s="7" t="inlineStr">
        <is>
          <t>MPPHM 17(8)(j); PKM per. 13</t>
        </is>
      </c>
      <c r="D61" s="7" t="inlineStr"/>
      <c r="E61" s="7" t="inlineStr"/>
      <c r="F61" t="inlineStr">
        <is>
          <t>C</t>
        </is>
      </c>
    </row>
    <row r="62">
      <c r="A62" s="7" t="inlineStr">
        <is>
          <t>C7</t>
        </is>
      </c>
      <c r="B62" s="7" t="inlineStr">
        <is>
          <t>Sabah: bilik atau ruang bagi produk boleh dimakan diasingkan daripada yang tidak boleh dimakan; kemudahan penyejukan (dan pembekuan jika perlu) disediakan, dan produk terdedah tidak diletakkan di bawah karkas dalam bilik sejuk; ruang tahanan yang berasingan dan ruang kerja inspektor di lantai sembelihan disediakan.</t>
        </is>
      </c>
      <c r="C62" s="7" t="inlineStr">
        <is>
          <t>Kaedah Rumah Sembelihan Sabah k. 6</t>
        </is>
      </c>
      <c r="D62" s="7" t="inlineStr"/>
      <c r="E62" s="7" t="inlineStr"/>
      <c r="F62" t="inlineStr">
        <is>
          <t>C</t>
        </is>
      </c>
    </row>
    <row r="63">
      <c r="A63" s="7" t="inlineStr">
        <is>
          <t>C8</t>
        </is>
      </c>
      <c r="B63" s="7" t="inlineStr">
        <is>
          <t>Sabah: sebarang pengubahsuaian rumah sembelihan mendapat kelulusan bertulis Pengarah sebelum dibuat.</t>
        </is>
      </c>
      <c r="C63" s="7" t="inlineStr">
        <is>
          <t>Kaedah Rumah Sembelihan Sabah k. 9</t>
        </is>
      </c>
      <c r="D63" s="7" t="inlineStr"/>
      <c r="E63" s="7" t="inlineStr"/>
      <c r="F63" t="inlineStr">
        <is>
          <t>C</t>
        </is>
      </c>
    </row>
    <row r="64">
      <c r="A64" s="7" t="inlineStr">
        <is>
          <t>C9</t>
        </is>
      </c>
      <c r="B64" s="7" t="inlineStr">
        <is>
          <t>Premis dalam keadaan baik, bersih dan teratur, tanpa longgokan barang yang tidak berkaitan.</t>
        </is>
      </c>
      <c r="C64" s="7" t="inlineStr">
        <is>
          <t>MPPHM 17(8)(d); PKM per. 15(1), 15(2)</t>
        </is>
      </c>
      <c r="D64" s="7" t="inlineStr"/>
      <c r="E64" s="7" t="inlineStr"/>
      <c r="F64" t="inlineStr">
        <is>
          <t>C</t>
        </is>
      </c>
    </row>
    <row r="65">
      <c r="A65" s="7" t="inlineStr">
        <is>
          <t>C10</t>
        </is>
      </c>
      <c r="B65" s="7" t="inlineStr">
        <is>
          <t>Lantai kalis air, tidak menyerap, boleh dibasuh, tidak toksik dan bersaliran baik.</t>
        </is>
      </c>
      <c r="C65" s="7" t="inlineStr">
        <is>
          <t>PKM per. 18; MPPHM 17(8)(e)</t>
        </is>
      </c>
      <c r="D65" s="7" t="inlineStr"/>
      <c r="E65" s="7" t="inlineStr"/>
      <c r="F65" t="inlineStr">
        <is>
          <t>C</t>
        </is>
      </c>
    </row>
    <row r="66">
      <c r="A66" s="7" t="inlineStr">
        <is>
          <t>C11</t>
        </is>
      </c>
      <c r="B66" s="7" t="inlineStr">
        <is>
          <t>Dinding licin, kalis air, tidak menyerap dan boleh dibasuh, dengan sudut dinding-lantai dikedap dan dilengkungkan.</t>
        </is>
      </c>
      <c r="C66" s="7" t="inlineStr">
        <is>
          <t>PKM per. 19; MPPHM 17(8)(e)</t>
        </is>
      </c>
      <c r="D66" s="7" t="inlineStr"/>
      <c r="E66" s="7" t="inlineStr"/>
      <c r="F66" t="inlineStr">
        <is>
          <t>C</t>
        </is>
      </c>
    </row>
    <row r="67">
      <c r="A67" s="7" t="inlineStr">
        <is>
          <t>C12</t>
        </is>
      </c>
      <c r="B67" s="7" t="inlineStr">
        <is>
          <t>Sabah: lantai dan dinding diperbuat daripada bahan kalis air dan tidak menyerap, dinding kalis setinggi sekurang-kurangnya 8 kaki dari lantai, dan lantai tanpa retakan serta bercerun secukupnya ke saluran.</t>
        </is>
      </c>
      <c r="C67" s="7" t="inlineStr">
        <is>
          <t>Kaedah Rumah Sembelihan Sabah k. 6</t>
        </is>
      </c>
      <c r="D67" s="7" t="inlineStr"/>
      <c r="E67" s="7" t="inlineStr"/>
      <c r="F67" t="inlineStr">
        <is>
          <t>C</t>
        </is>
      </c>
    </row>
    <row r="68">
      <c r="A68" s="7" t="inlineStr">
        <is>
          <t>C13</t>
        </is>
      </c>
      <c r="B68" s="7" t="inlineStr">
        <is>
          <t>Siling dan lekapan atas bebas kotoran, pemeluwapan dan kulat, dan tidak menggugurkan partikel.</t>
        </is>
      </c>
      <c r="C68" s="7" t="inlineStr">
        <is>
          <t>PKM per. 22; MPPHM 17(8)(e)</t>
        </is>
      </c>
      <c r="D68" s="7" t="inlineStr"/>
      <c r="E68" s="7" t="inlineStr"/>
      <c r="F68" t="inlineStr">
        <is>
          <t>C</t>
        </is>
      </c>
    </row>
    <row r="69">
      <c r="A69" s="7" t="inlineStr">
        <is>
          <t>C14</t>
        </is>
      </c>
      <c r="B69" s="7" t="inlineStr">
        <is>
          <t>Pintu mudah dibersihkan dan tertutup rapat, dan bukaan dipasang tirai atau jaring untuk menghalang perosak dan burung.</t>
        </is>
      </c>
      <c r="C69" s="7" t="inlineStr">
        <is>
          <t>PKM per. 23; MPPHM 17(8)(c), 17(8)(e)</t>
        </is>
      </c>
      <c r="D69" s="7" t="inlineStr"/>
      <c r="E69" s="7" t="inlineStr"/>
      <c r="F69" t="inlineStr">
        <is>
          <t>C</t>
        </is>
      </c>
    </row>
    <row r="70">
      <c r="A70" s="7" t="inlineStr">
        <is>
          <t>C15</t>
        </is>
      </c>
      <c r="B70" s="7" t="inlineStr">
        <is>
          <t>Pencahayaan mencukupi, terutamanya di titik penyembelihan dan titik pemeriksaan halal, dan lampu di kawasan pemprosesan bersih, berfungsi dan bertutup.</t>
        </is>
      </c>
      <c r="C70" s="7" t="inlineStr">
        <is>
          <t>PKM per. 20; MPPHM 17(8)(g), 17(8)(h)</t>
        </is>
      </c>
      <c r="D70" s="7" t="inlineStr"/>
      <c r="E70" s="7" t="inlineStr"/>
      <c r="F70" t="inlineStr">
        <is>
          <t>C</t>
        </is>
      </c>
    </row>
    <row r="71">
      <c r="A71" s="7" t="inlineStr">
        <is>
          <t>C16</t>
        </is>
      </c>
      <c r="B71" s="7" t="inlineStr">
        <is>
          <t>Pengudaraan mencukupi, udara tidak mengalir dari kawasan kotor ke kawasan bersih, dan kipas serta penghawa dingin bersih.</t>
        </is>
      </c>
      <c r="C71" s="7" t="inlineStr">
        <is>
          <t>PKM per. 21; MPPHM 17(8)(e), 17(8)(g)</t>
        </is>
      </c>
      <c r="D71" s="7" t="inlineStr"/>
      <c r="E71" s="7" t="inlineStr"/>
      <c r="F71" t="inlineStr">
        <is>
          <t>C</t>
        </is>
      </c>
    </row>
    <row r="72">
      <c r="A72" s="7" t="inlineStr">
        <is>
          <t>C17</t>
        </is>
      </c>
      <c r="B72" s="7" t="inlineStr">
        <is>
          <t>Bekalan air terawat mencukupi dan sistemnya terlindung daripada pencemaran; laporan analisis kualiti air tersedia jika sumber air bukan bekalan awam (cth. telaga atau tiub).</t>
        </is>
      </c>
      <c r="C72" s="7" t="inlineStr">
        <is>
          <t>PKM per. 14; MPPHM 17(1)(j)</t>
        </is>
      </c>
      <c r="D72" s="7" t="inlineStr"/>
      <c r="E72" s="7" t="inlineStr"/>
      <c r="F72" t="inlineStr">
        <is>
          <t>C</t>
        </is>
      </c>
    </row>
    <row r="73">
      <c r="A73" s="7" t="inlineStr">
        <is>
          <t>C18</t>
        </is>
      </c>
      <c r="B73" s="7" t="inlineStr">
        <is>
          <t>Sabah: bekalan air bersih dan terawat mencukupi, termasuk air panas sekurang-kurangnya 83°C.</t>
        </is>
      </c>
      <c r="C73" s="7" t="inlineStr">
        <is>
          <t>Kaedah Rumah Sembelihan Sabah k. 6</t>
        </is>
      </c>
      <c r="D73" s="7" t="inlineStr"/>
      <c r="E73" s="7" t="inlineStr"/>
      <c r="F73" t="inlineStr">
        <is>
          <t>C</t>
        </is>
      </c>
    </row>
    <row r="74">
      <c r="A74" s="7" t="inlineStr">
        <is>
          <t>C19</t>
        </is>
      </c>
      <c r="B74" s="7" t="inlineStr">
        <is>
          <t>Saliran mencukupi, bersih, mengalir dari kawasan bersih ke kawasan kotor dan disambung ke SPE, tanpa takungan darah atau air.</t>
        </is>
      </c>
      <c r="C74" s="7" t="inlineStr">
        <is>
          <t>PKM per. 29; MPPHM 17(8)(l)</t>
        </is>
      </c>
      <c r="D74" s="7" t="inlineStr"/>
      <c r="E74" s="7" t="inlineStr"/>
      <c r="F74" t="inlineStr">
        <is>
          <t>C</t>
        </is>
      </c>
    </row>
    <row r="75">
      <c r="A75" s="7" t="inlineStr">
        <is>
          <t>C20</t>
        </is>
      </c>
      <c r="B75" s="7" t="inlineStr">
        <is>
          <t>Pejabat, kantin, bilik rehat, loker dan tempat tinggal pekerja bebas daripada bahan dan produk tidak halal (cth. daging babi, arak).</t>
        </is>
      </c>
      <c r="C75" s="7" t="inlineStr">
        <is>
          <t>MPPHM 17(8)(a)</t>
        </is>
      </c>
      <c r="D75" s="7" t="inlineStr"/>
      <c r="E75" s="7" t="inlineStr"/>
      <c r="F75" t="inlineStr">
        <is>
          <t>C</t>
        </is>
      </c>
    </row>
    <row r="76">
      <c r="A76" s="7" t="inlineStr">
        <is>
          <t>C21</t>
        </is>
      </c>
      <c r="B76" s="7" t="inlineStr">
        <is>
          <t>Tempat tinggal pekerja berada di bangunan berasingan; jika di bangunan yang sama, ia mempunyai pintu masuk berasingan, tiada laluan terus ke kawasan sembelihan atau pemprosesan, dan aksesnya dikawal.</t>
        </is>
      </c>
      <c r="C76" s="7" t="inlineStr">
        <is>
          <t>MPPHM 17(8)(k)</t>
        </is>
      </c>
      <c r="D76" s="7" t="inlineStr"/>
      <c r="E76" s="7" t="inlineStr"/>
      <c r="F76" t="inlineStr">
        <is>
          <t>C</t>
        </is>
      </c>
    </row>
    <row r="77">
      <c r="A77" s="7" t="inlineStr">
        <is>
          <t>C22</t>
        </is>
      </c>
      <c r="B77" s="7" t="inlineStr">
        <is>
          <t>Tiada alat atau unsur penyembahan di kawasan sembelihan dan pemprosesan.</t>
        </is>
      </c>
      <c r="C77" s="7" t="inlineStr">
        <is>
          <t>MPPHM 17(15)</t>
        </is>
      </c>
      <c r="D77" s="7" t="inlineStr"/>
      <c r="E77" s="7" t="inlineStr"/>
      <c r="F77" t="inlineStr">
        <is>
          <t>C</t>
        </is>
      </c>
    </row>
    <row r="78">
      <c r="A78" s="7" t="inlineStr">
        <is>
          <t>C23</t>
        </is>
      </c>
      <c r="B78" s="7" t="inlineStr">
        <is>
          <t>Premis memenuhi keperluan GMP dan VHM yang ditetapkan JPV.</t>
        </is>
      </c>
      <c r="C78" s="7" t="inlineStr">
        <is>
          <t>MPPHM 17(8)(i); Skim VHM JPV</t>
        </is>
      </c>
      <c r="D78" s="7" t="inlineStr"/>
      <c r="E78" s="7" t="inlineStr"/>
      <c r="F78" t="inlineStr">
        <is>
          <t>C</t>
        </is>
      </c>
    </row>
    <row r="79">
      <c r="A79" s="7" t="inlineStr">
        <is>
          <t>C24</t>
        </is>
      </c>
      <c r="B79" s="7" t="inlineStr">
        <is>
          <t>Premis, stor atau bilik sejuk yang pernah tercemar najis mughallazah (cth. kemasukan anjing, atau premis bekas rumah sembelihan babi) telah disertu, dengan rekod.</t>
        </is>
      </c>
      <c r="C79" s="7" t="inlineStr">
        <is>
          <t>MPPHM 17(8)(n), 17(4)(j); MS 1500:2019 Lampiran A*</t>
        </is>
      </c>
      <c r="D79" s="7" t="inlineStr"/>
      <c r="E79" s="7" t="inlineStr"/>
      <c r="F79" t="inlineStr">
        <is>
          <t>C</t>
        </is>
      </c>
    </row>
    <row r="80">
      <c r="A80" s="4" t="inlineStr">
        <is>
          <t>Bahagian D: Penerimaan Haiwan, Pembekal &amp; Kebajikan Haiwan</t>
        </is>
      </c>
      <c r="B80" s="5" t="n"/>
      <c r="C80" s="5" t="n"/>
      <c r="D80" s="5" t="n"/>
      <c r="E80" s="6" t="n"/>
    </row>
    <row r="81" ht="26" customHeight="1">
      <c r="A81" s="2" t="inlineStr">
        <is>
          <t>Di kawasan pemunggahan dan kandang rehat, semak dokumen penghantaran dan senarai pembekal, perhatikan cara haiwan dipunggah dan dikendalikan, dan periksa keadaan kandang serta pengendalian haiwan yang sakit atau mati.</t>
        </is>
      </c>
    </row>
    <row r="82">
      <c r="A82" s="7" t="inlineStr">
        <is>
          <t>D1</t>
        </is>
      </c>
      <c r="B82" s="7" t="inlineStr">
        <is>
          <t>Haiwan yang diterima terdiri daripada spesies halal sahaja dan sepadan dengan spesies yang dipohon.</t>
        </is>
      </c>
      <c r="C82" s="7" t="inlineStr">
        <is>
          <t>MPPHM 18(7)(g)(ii)(a); MS 1500:2009 kl. 3.5*; MS 1500:2019 kl. 4.5*</t>
        </is>
      </c>
      <c r="D82" s="7" t="inlineStr"/>
      <c r="E82" s="7" t="inlineStr"/>
      <c r="F82" t="inlineStr">
        <is>
          <t>D</t>
        </is>
      </c>
    </row>
    <row r="83">
      <c r="A83" s="7" t="inlineStr">
        <is>
          <t>D2</t>
        </is>
      </c>
      <c r="B83" s="7" t="inlineStr">
        <is>
          <t>Senarai pembekal haiwan (ladang atau peniaga ternakan) diluluskan JKHD atau Penyelia Halal dan dikemas kini, dengan nama, alamat dan maklumat pendaftaran ladang (cth. ID premis JPV).</t>
        </is>
      </c>
      <c r="C83" s="7" t="inlineStr">
        <is>
          <t>MHMS 5(7) (Kawalan Bahan Mentah)</t>
        </is>
      </c>
      <c r="D83" s="7" t="inlineStr"/>
      <c r="E83" s="7" t="inlineStr"/>
      <c r="F83" t="inlineStr">
        <is>
          <t>D</t>
        </is>
      </c>
    </row>
    <row r="84">
      <c r="A84" s="7" t="inlineStr">
        <is>
          <t>D3</t>
        </is>
      </c>
      <c r="B84" s="7" t="inlineStr">
        <is>
          <t>Setiap penghantaran haiwan direkodkan (tarikh, pembekal dan ladang asal, spesies, bilangan, nombor kenderaan atau lot) supaya produk dapat dikesan ke ladang asal.</t>
        </is>
      </c>
      <c r="C84" s="7" t="inlineStr">
        <is>
          <t>MHMS 5(9); PKM per. 10(1)</t>
        </is>
      </c>
      <c r="D84" s="7" t="inlineStr"/>
      <c r="E84" s="7" t="inlineStr"/>
      <c r="F84" t="inlineStr">
        <is>
          <t>D</t>
        </is>
      </c>
    </row>
    <row r="85">
      <c r="A85" s="7" t="inlineStr">
        <is>
          <t>D4</t>
        </is>
      </c>
      <c r="B85" s="7" t="inlineStr">
        <is>
          <t>Dokumen kesihatan atau permit pergerakan veterinar yang dikehendaki JPV disertakan bagi setiap penghantaran haiwan (jika berkaitan) dan disemak semasa penerimaan.</t>
        </is>
      </c>
      <c r="C85" s="7" t="inlineStr">
        <is>
          <t>Skim VHM JPV</t>
        </is>
      </c>
      <c r="D85" s="7" t="inlineStr"/>
      <c r="E85" s="7" t="inlineStr"/>
      <c r="F85" t="inlineStr">
        <is>
          <t>D</t>
        </is>
      </c>
    </row>
    <row r="86">
      <c r="A86" s="7" t="inlineStr">
        <is>
          <t>D5</t>
        </is>
      </c>
      <c r="B86" s="7" t="inlineStr">
        <is>
          <t>Hanya haiwan yang sihat dan diluluskan oleh pihak berkuasa bertauliah (JPV) disembelih; haiwan yang ditahan atau ditolak semasa pemeriksaan ante-mortem diasingkan dan direkodkan.</t>
        </is>
      </c>
      <c r="C86" s="7" t="inlineStr">
        <is>
          <t>MPPHM 18(7)(g)(ii)(b); MS 1500:2009 kl. 3.5*; Skim VHM JPV</t>
        </is>
      </c>
      <c r="D86" s="7" t="inlineStr"/>
      <c r="E86" s="7" t="inlineStr"/>
      <c r="F86" t="inlineStr">
        <is>
          <t>D</t>
        </is>
      </c>
    </row>
    <row r="87">
      <c r="A87" s="7" t="inlineStr">
        <is>
          <t>D6</t>
        </is>
      </c>
      <c r="B87" s="7" t="inlineStr">
        <is>
          <t>Semenanjung: haiwan import untuk sembelihan telah menjalani kuarantin sekurang-kurangnya 10 hari di stesen kuarantin di tempat pendaratan dan dibawa terus ke rumah sembelihan, dan lesen serta sijil berkaitan masih sah.</t>
        </is>
      </c>
      <c r="C87" s="7" t="inlineStr">
        <is>
          <t>Kaedah Binatang 1962 k. 4, 7</t>
        </is>
      </c>
      <c r="D87" s="7" t="inlineStr"/>
      <c r="E87" s="7" t="inlineStr"/>
      <c r="F87" t="inlineStr">
        <is>
          <t>D</t>
        </is>
      </c>
    </row>
    <row r="88">
      <c r="A88" s="7" t="inlineStr">
        <is>
          <t>D7</t>
        </is>
      </c>
      <c r="B88" s="7" t="inlineStr">
        <is>
          <t>Semenanjung: haiwan yang menunjukkan tanda penyakit dilaporkan segera kepada pihak berkuasa veterinar dan diasingkan, dan haiwan berpenyakit atau disyaki berpenyakit tidak dipindahkan atau dijual tanpa kebenaran bertulis Pengarah Negeri.</t>
        </is>
      </c>
      <c r="C88" s="7" t="inlineStr">
        <is>
          <t>Akta Binatang 1953 s. 31, 34</t>
        </is>
      </c>
      <c r="D88" s="7" t="inlineStr"/>
      <c r="E88" s="7" t="inlineStr"/>
      <c r="F88" t="inlineStr">
        <is>
          <t>D</t>
        </is>
      </c>
    </row>
    <row r="89">
      <c r="A89" s="7" t="inlineStr">
        <is>
          <t>D8</t>
        </is>
      </c>
      <c r="B89" s="7" t="inlineStr">
        <is>
          <t>Semenanjung: syarat bagi kawasan dijangkiti atau kawasan kawalan penyakit yang diisytiharkan (jika ada), termasuk pembersihan dan disinfeksi rumah sembelihan, dipatuhi.</t>
        </is>
      </c>
      <c r="C89" s="7" t="inlineStr">
        <is>
          <t>Akta Binatang 1953 s. 36</t>
        </is>
      </c>
      <c r="D89" s="7" t="inlineStr"/>
      <c r="E89" s="7" t="inlineStr"/>
      <c r="F89" t="inlineStr">
        <is>
          <t>D</t>
        </is>
      </c>
    </row>
    <row r="90">
      <c r="A90" s="7" t="inlineStr">
        <is>
          <t>D9</t>
        </is>
      </c>
      <c r="B90" s="7" t="inlineStr">
        <is>
          <t>Semenanjung: perintah larangan atau sekatan pergerakan atau sembelihan ternakan yang diwartakan (jika ada) dipatuhi, termasuk lesen yang dikehendaki di bawah perintah itu.</t>
        </is>
      </c>
      <c r="C90" s="7" t="inlineStr">
        <is>
          <t>Akta Binatang 1953 s. 51</t>
        </is>
      </c>
      <c r="D90" s="7" t="inlineStr"/>
      <c r="E90" s="7" t="inlineStr"/>
      <c r="F90" t="inlineStr">
        <is>
          <t>D</t>
        </is>
      </c>
    </row>
    <row r="91">
      <c r="A91" s="7" t="inlineStr">
        <is>
          <t>D10</t>
        </is>
      </c>
      <c r="B91" s="7" t="inlineStr">
        <is>
          <t>Haiwan dipunggah dan dikendalikan dengan baik, tanpa dipukul, ditendang, diseret, dibaling atau diseksa.</t>
        </is>
      </c>
      <c r="C91" s="7" t="inlineStr">
        <is>
          <t>MPPHM 18(7)(g)(ii)(d), 18(7)(g)(vi)(a); Akta Binatang 1953 s. 44; Akta Kebajikan Haiwan 2015 s. 29</t>
        </is>
      </c>
      <c r="D91" s="7" t="inlineStr"/>
      <c r="E91" s="7" t="inlineStr"/>
      <c r="F91" t="inlineStr">
        <is>
          <t>D</t>
        </is>
      </c>
    </row>
    <row r="92">
      <c r="A92" s="7" t="inlineStr">
        <is>
          <t>D11</t>
        </is>
      </c>
      <c r="B92" s="7" t="inlineStr">
        <is>
          <t>Kandang rehat atau ruang penyimpanan sementara bersih, berbumbung, berpengudaraan, bersaliran dan tidak terlalu padat, dan haiwan diberi air minuman serta dilindungi daripada kecederaan.</t>
        </is>
      </c>
      <c r="C92" s="7" t="inlineStr">
        <is>
          <t>MPPHM 18(7)(g)(i)(c), 18(7)(g)(ii)(d); Akta Kebajikan Haiwan 2015 s. 24</t>
        </is>
      </c>
      <c r="D92" s="7" t="inlineStr"/>
      <c r="E92" s="7" t="inlineStr"/>
      <c r="F92" t="inlineStr">
        <is>
          <t>D</t>
        </is>
      </c>
    </row>
    <row r="93">
      <c r="A93" s="7" t="inlineStr">
        <is>
          <t>D12</t>
        </is>
      </c>
      <c r="B93" s="7" t="inlineStr">
        <is>
          <t>Poltri diberi masa rehat (cooling off) sebelum digantung, seperti dalam carta alir proses.</t>
        </is>
      </c>
      <c r="C93" s="7" t="inlineStr">
        <is>
          <t>MHMS Lampiran F2; MPPHM 18(7)(g)(ii)(d)</t>
        </is>
      </c>
      <c r="D93" s="7" t="inlineStr"/>
      <c r="E93" s="7" t="inlineStr"/>
      <c r="F93" t="inlineStr">
        <is>
          <t>D</t>
        </is>
      </c>
    </row>
    <row r="94">
      <c r="A94" s="7" t="inlineStr">
        <is>
          <t>D13</t>
        </is>
      </c>
      <c r="B94" s="7" t="inlineStr">
        <is>
          <t>Sabah: kandang berpermukaan keras dengan sambungan hos dan saliran yang mencukupi, dan ada kemudahan untuk mengasingkan ternakan sihat daripada ternakan yang bergejala penyakit.</t>
        </is>
      </c>
      <c r="C94" s="7" t="inlineStr">
        <is>
          <t>Kaedah Rumah Sembelihan Sabah k. 6</t>
        </is>
      </c>
      <c r="D94" s="7" t="inlineStr"/>
      <c r="E94" s="7" t="inlineStr"/>
      <c r="F94" t="inlineStr">
        <is>
          <t>D</t>
        </is>
      </c>
    </row>
    <row r="95">
      <c r="A95" s="7" t="inlineStr">
        <is>
          <t>D14</t>
        </is>
      </c>
      <c r="B95" s="7" t="inlineStr">
        <is>
          <t>Haiwan yang mati semasa pengangkutan atau di kandang (dead on arrival, DOA) dikenal pasti, diasingkan dan direkodkan, dan tidak disembelih atau diproses sebagai produk halal.</t>
        </is>
      </c>
      <c r="C95" s="7" t="inlineStr">
        <is>
          <t>MPPHM 18(7)(g)(ii)(c), 18(7)(g)(iv)(d)</t>
        </is>
      </c>
      <c r="D95" s="7" t="inlineStr"/>
      <c r="E95" s="7" t="inlineStr"/>
      <c r="F95" t="inlineStr">
        <is>
          <t>D</t>
        </is>
      </c>
    </row>
    <row r="96">
      <c r="A96" s="7" t="inlineStr">
        <is>
          <t>D15</t>
        </is>
      </c>
      <c r="B96" s="7" t="inlineStr">
        <is>
          <t>Bangkai haiwan mati dilupuskan mengikut arahan pihak berkuasa veterinar dan prosedur pelupusan sisa.</t>
        </is>
      </c>
      <c r="C96" s="7" t="inlineStr">
        <is>
          <t>Akta Binatang 1953 s. 33; MPPHM 17(10)(g)</t>
        </is>
      </c>
      <c r="D96" s="7" t="inlineStr"/>
      <c r="E96" s="7" t="inlineStr"/>
      <c r="F96" t="inlineStr">
        <is>
          <t>D</t>
        </is>
      </c>
    </row>
    <row r="97">
      <c r="A97" s="7" t="inlineStr">
        <is>
          <t>D16</t>
        </is>
      </c>
      <c r="B97" s="7" t="inlineStr">
        <is>
          <t>Bahan bukan haiwan yang diterima (bahan pembungkusan, bahan kimia pencucian karkas, pelincir, ais) tersenarai dalam senarai induk bahan dengan status halal atau dokumen sokongan, dan diisytiharkan dalam MYeHALAL.</t>
        </is>
      </c>
      <c r="C97" s="7" t="inlineStr">
        <is>
          <t>MHMS 5(7); MPPHM 17(1)(d), 17(1)(g)</t>
        </is>
      </c>
      <c r="D97" s="7" t="inlineStr"/>
      <c r="E97" s="7" t="inlineStr"/>
      <c r="F97" t="inlineStr">
        <is>
          <t>D</t>
        </is>
      </c>
    </row>
    <row r="98">
      <c r="A98" s="7" t="inlineStr">
        <is>
          <t>D17</t>
        </is>
      </c>
      <c r="B98" s="7" t="inlineStr">
        <is>
          <t>Bahan yang diterima berlabel dengan nama dan alamat pengeluar, dan pengeluar asalnya dapat dikenal pasti.</t>
        </is>
      </c>
      <c r="C98" s="7" t="inlineStr">
        <is>
          <t>MPPHM 17(1)(e), 17(1)(h)</t>
        </is>
      </c>
      <c r="D98" s="7" t="inlineStr"/>
      <c r="E98" s="7" t="inlineStr"/>
      <c r="F98" t="inlineStr">
        <is>
          <t>D</t>
        </is>
      </c>
    </row>
    <row r="99">
      <c r="A99" s="7" t="inlineStr">
        <is>
          <t>D18</t>
        </is>
      </c>
      <c r="B99" s="7" t="inlineStr">
        <is>
          <t>Latihan kesedaran halal diperluas kepada pembekal ternakan dan pengangkut haiwan apabila perlu.</t>
        </is>
      </c>
      <c r="C99" s="7" t="inlineStr">
        <is>
          <t>MPPHM 17(12)(d)</t>
        </is>
      </c>
      <c r="D99" s="7" t="inlineStr"/>
      <c r="E99" s="7" t="inlineStr"/>
      <c r="F99" t="inlineStr">
        <is>
          <t>D</t>
        </is>
      </c>
    </row>
    <row r="100">
      <c r="A100" s="4" t="inlineStr">
        <is>
          <t>Bahagian E: Penyembelih, Pemeriksa Halal &amp; Alat Sembelihan</t>
        </is>
      </c>
      <c r="B100" s="5" t="n"/>
      <c r="C100" s="5" t="n"/>
      <c r="D100" s="5" t="n"/>
      <c r="E100" s="6" t="n"/>
    </row>
    <row r="101" ht="26" customHeight="1">
      <c r="A101" s="2" t="inlineStr">
        <is>
          <t>Di dewan sembelihan, kenal pasti penyembelih dan pemeriksa halal yang bertugas, semak tauliah serta jadual giliran mereka, dan periksa pisau dan alat sembelihan.</t>
        </is>
      </c>
    </row>
    <row r="102">
      <c r="A102" s="7" t="inlineStr">
        <is>
          <t>E1</t>
        </is>
      </c>
      <c r="B102" s="7" t="inlineStr">
        <is>
          <t>Setiap penyembelih ialah Muslim yang waras, baligh, mengamalkan ajaran Islam dan memahami peraturan serta syarat asas sembelihan (disahkan melalui temu bual).</t>
        </is>
      </c>
      <c r="C102" s="7" t="inlineStr">
        <is>
          <t>MPPHM 18(7)(g)(iii)(a); MS 1500:2009 kl. 3.5.2.1(a)*</t>
        </is>
      </c>
      <c r="D102" s="7" t="inlineStr"/>
      <c r="E102" s="7" t="inlineStr"/>
      <c r="F102" t="inlineStr">
        <is>
          <t>E</t>
        </is>
      </c>
    </row>
    <row r="103">
      <c r="A103" s="7" t="inlineStr">
        <is>
          <t>E2</t>
        </is>
      </c>
      <c r="B103" s="7" t="inlineStr">
        <is>
          <t>Setiap penyembelih yang bertugas memiliki Sijil dan Kad Tauliah Penyembelih yang masih sah daripada MAIN/JAIN, dan namanya sepadan dengan senarai penyembelih yang dilantik.</t>
        </is>
      </c>
      <c r="C103" s="7" t="inlineStr">
        <is>
          <t>MPPHM 3, 18(7)(g)(iii)(b), 59; MHMS Lampiran C1, Lampiran E; MS 1500:2009 kl. 3.5.2*</t>
        </is>
      </c>
      <c r="D103" s="7" t="inlineStr"/>
      <c r="E103" s="7" t="inlineStr"/>
      <c r="F103" t="inlineStr">
        <is>
          <t>E</t>
        </is>
      </c>
    </row>
    <row r="104">
      <c r="A104" s="7" t="inlineStr">
        <is>
          <t>E3</t>
        </is>
      </c>
      <c r="B104" s="7" t="inlineStr">
        <is>
          <t>Setiap pemeriksa halal ialah Muslim yang waras, baligh, mengamalkan ajaran Islam dan memahami sembelihan menurut Syarak.</t>
        </is>
      </c>
      <c r="C104" s="7" t="inlineStr">
        <is>
          <t>MPPHM 18(7)(g)(iv)(a)</t>
        </is>
      </c>
      <c r="D104" s="7" t="inlineStr"/>
      <c r="E104" s="7" t="inlineStr"/>
      <c r="F104" t="inlineStr">
        <is>
          <t>E</t>
        </is>
      </c>
    </row>
    <row r="105">
      <c r="A105" s="7" t="inlineStr">
        <is>
          <t>E4</t>
        </is>
      </c>
      <c r="B105" s="7" t="inlineStr">
        <is>
          <t>Pemeriksa halal yang turut menyembelih, atau yang bergilir atau bertukar tugas dengan penyembelih, memiliki Tauliah Penyembelih yang masih sah daripada MAIN/JAIN.</t>
        </is>
      </c>
      <c r="C105" s="7" t="inlineStr">
        <is>
          <t>MPPHM 18(7)(g)(iii)(e), 18(7)(g)(iv)(b), 18(7)(g)(iv)(e)</t>
        </is>
      </c>
      <c r="D105" s="7" t="inlineStr"/>
      <c r="E105" s="7" t="inlineStr"/>
      <c r="F105" t="inlineStr">
        <is>
          <t>E</t>
        </is>
      </c>
    </row>
    <row r="106">
      <c r="A106" s="7" t="inlineStr">
        <is>
          <t>E5</t>
        </is>
      </c>
      <c r="B106" s="7" t="inlineStr">
        <is>
          <t>Bilangan penyembelih mencukupi bagi kelajuan talian dan kapasiti sembelihan supaya setiap haiwan dapat disembelih dengan sempurna (cth. ada penyembelih simpanan bagi haiwan yang terlepas).</t>
        </is>
      </c>
      <c r="C106" s="7" t="inlineStr">
        <is>
          <t>MPPHM 18(7)(g)(iii)(d)</t>
        </is>
      </c>
      <c r="D106" s="7" t="inlineStr"/>
      <c r="E106" s="7" t="inlineStr"/>
      <c r="F106" t="inlineStr">
        <is>
          <t>E</t>
        </is>
      </c>
    </row>
    <row r="107">
      <c r="A107" s="7" t="inlineStr">
        <is>
          <t>E6</t>
        </is>
      </c>
      <c r="B107" s="7" t="inlineStr">
        <is>
          <t>Bilangan pemeriksa halal mencukupi, dan mereka ditempatkan di checkpoint yang sesuai sepanjang proses sembelihan.</t>
        </is>
      </c>
      <c r="C107" s="7" t="inlineStr">
        <is>
          <t>MPPHM 18(7)(g)(iv)(c)</t>
        </is>
      </c>
      <c r="D107" s="7" t="inlineStr"/>
      <c r="E107" s="7" t="inlineStr"/>
      <c r="F107" t="inlineStr">
        <is>
          <t>E</t>
        </is>
      </c>
    </row>
    <row r="108">
      <c r="A108" s="7" t="inlineStr">
        <is>
          <t>E7</t>
        </is>
      </c>
      <c r="B108" s="7" t="inlineStr">
        <is>
          <t>Penyembelih ditukar selepas sembelihan mencapai maksimum 3000 ekor poltri atau 50 ekor ruminan, dan jadual atau rekod giliran menunjukkan pertukaran ini dipatuhi.</t>
        </is>
      </c>
      <c r="C108" s="7" t="inlineStr">
        <is>
          <t>MPPHM 18(7)(g)(iii)(f)</t>
        </is>
      </c>
      <c r="D108" s="7" t="inlineStr"/>
      <c r="E108" s="7" t="inlineStr"/>
      <c r="F108" t="inlineStr">
        <is>
          <t>E</t>
        </is>
      </c>
    </row>
    <row r="109">
      <c r="A109" s="7" t="inlineStr">
        <is>
          <t>E8</t>
        </is>
      </c>
      <c r="B109" s="7" t="inlineStr">
        <is>
          <t>Alat sembelihan tidak diperbuat daripada tulang, kuku atau gigi.</t>
        </is>
      </c>
      <c r="C109" s="7" t="inlineStr">
        <is>
          <t>MPPHM 18(7)(g)(v)(a); MS 1500:2009 kl. 3.5.2.1(l)*</t>
        </is>
      </c>
      <c r="D109" s="7" t="inlineStr"/>
      <c r="E109" s="7" t="inlineStr"/>
      <c r="F109" t="inlineStr">
        <is>
          <t>E</t>
        </is>
      </c>
    </row>
    <row r="110">
      <c r="A110" s="7" t="inlineStr">
        <is>
          <t>E9</t>
        </is>
      </c>
      <c r="B110" s="7" t="inlineStr">
        <is>
          <t>Pisau, alat dan talian sembelihan dikhususkan untuk penyembelihan haiwan halal sahaja dan tidak digunakan untuk tujuan lain.</t>
        </is>
      </c>
      <c r="C110" s="7" t="inlineStr">
        <is>
          <t>MPPHM 18(7)(g)(v)(b); MS 1500:2009 kl. 3.5.2.1(i)*</t>
        </is>
      </c>
      <c r="D110" s="7" t="inlineStr"/>
      <c r="E110" s="7" t="inlineStr"/>
      <c r="F110" t="inlineStr">
        <is>
          <t>E</t>
        </is>
      </c>
    </row>
    <row r="111">
      <c r="A111" s="7" t="inlineStr">
        <is>
          <t>E10</t>
        </is>
      </c>
      <c r="B111" s="7" t="inlineStr">
        <is>
          <t>Pisau tajam, sesuai dengan saiz haiwan dan mencukupi bagi kapasiti sembelihan, dan kemudahan mengasah pisau tersedia.</t>
        </is>
      </c>
      <c r="C111" s="7" t="inlineStr">
        <is>
          <t>MPPHM 18(7)(g)(v)(c); MS 1500:2009 kl. 3.5.2.1(j)*; MHMS Lampiran E, Lampiran H</t>
        </is>
      </c>
      <c r="D111" s="7" t="inlineStr"/>
      <c r="E111" s="7" t="inlineStr"/>
      <c r="F111" t="inlineStr">
        <is>
          <t>E</t>
        </is>
      </c>
    </row>
    <row r="112">
      <c r="A112" s="7" t="inlineStr">
        <is>
          <t>E11</t>
        </is>
      </c>
      <c r="B112" s="7" t="inlineStr">
        <is>
          <t>Penyembelih mempunyai pisau tambahan di titik sembelihan supaya pisau yang tumpul atau rosak dapat ditukar serta-merta.</t>
        </is>
      </c>
      <c r="C112" s="7" t="inlineStr">
        <is>
          <t>MHMS Lampiran H</t>
        </is>
      </c>
      <c r="D112" s="7" t="inlineStr"/>
      <c r="E112" s="7" t="inlineStr"/>
      <c r="F112" t="inlineStr">
        <is>
          <t>E</t>
        </is>
      </c>
    </row>
    <row r="113">
      <c r="A113" s="7" t="inlineStr">
        <is>
          <t>E12</t>
        </is>
      </c>
      <c r="B113" s="7" t="inlineStr">
        <is>
          <t>Pisau atau mata pisau dibersihkan daripada darah dan kotoran dengan air mengalir antara sembelihan, dan kemudahan pembersihan pisau berfungsi.</t>
        </is>
      </c>
      <c r="C113" s="7" t="inlineStr">
        <is>
          <t>MPPHM 18(7)(g)(v)(d); MHMS Lampiran E; MS 1500:2009 kl. 3.5.2.1(j)*</t>
        </is>
      </c>
      <c r="D113" s="7" t="inlineStr"/>
      <c r="E113" s="7" t="inlineStr"/>
      <c r="F113" t="inlineStr">
        <is>
          <t>E</t>
        </is>
      </c>
    </row>
    <row r="114">
      <c r="A114" s="4" t="inlineStr">
        <is>
          <t>Bahagian F: Pelalian (Stunning) jika Digunakan</t>
        </is>
      </c>
      <c r="B114" s="5" t="n"/>
      <c r="C114" s="5" t="n"/>
      <c r="D114" s="5" t="n"/>
      <c r="E114" s="6" t="n"/>
    </row>
    <row r="115" ht="26" customHeight="1">
      <c r="A115" s="2" t="inlineStr">
        <is>
          <t>Jika pelalian digunakan, perhatikan operasi alat pelalian, semak tetapan dan rekod parameter mengikut spesies, dan sahkan bahawa haiwan masih bernyawa ketika disembelih.</t>
        </is>
      </c>
    </row>
    <row r="116">
      <c r="A116" s="7" t="inlineStr">
        <is>
          <t>F1</t>
        </is>
      </c>
      <c r="B116" s="7" t="inlineStr">
        <is>
          <t>Penggunaan pelalian, jenis alat dan spesies yang dipelali dinyatakan dalam rekod pemprosesan dan prosedur kerja terkini, dan sepadan dengan amalan sebenar.</t>
        </is>
      </c>
      <c r="C116" s="7" t="inlineStr">
        <is>
          <t>MPPHM 17(2)(d)</t>
        </is>
      </c>
      <c r="D116" s="7" t="inlineStr"/>
      <c r="E116" s="7" t="inlineStr"/>
      <c r="F116" t="inlineStr">
        <is>
          <t>F</t>
        </is>
      </c>
    </row>
    <row r="117">
      <c r="A117" s="7" t="inlineStr">
        <is>
          <t>F2</t>
        </is>
      </c>
      <c r="B117" s="7" t="inlineStr">
        <is>
          <t>Kaedah pelalian yang digunakan dibenarkan oleh fatwa: pelalian elektrik jenis kepala sahaja (head-only) bagi ruminan, dan waterbath dengan arus terkawal yang tidak mematikan haiwan bagi poltri (fatwa menyebut ayam dan itik).</t>
        </is>
      </c>
      <c r="C117" s="7" t="inlineStr">
        <is>
          <t>Fatwa MKI 2005 (stunning); MS 1500:2009 Lampiran A*</t>
        </is>
      </c>
      <c r="D117" s="7" t="inlineStr"/>
      <c r="E117" s="7" t="inlineStr"/>
      <c r="F117" t="inlineStr">
        <is>
          <t>F</t>
        </is>
      </c>
    </row>
    <row r="118">
      <c r="A118" s="7" t="inlineStr">
        <is>
          <t>F3</t>
        </is>
      </c>
      <c r="B118" s="7" t="inlineStr">
        <is>
          <t>Tiada penggunaan captive bolt, sama ada jenis penetrative atau non-penetrative (mushroom head).</t>
        </is>
      </c>
      <c r="C118" s="7" t="inlineStr">
        <is>
          <t>Fatwa MKI 2005 (stunning)</t>
        </is>
      </c>
      <c r="D118" s="7" t="inlineStr"/>
      <c r="E118" s="7" t="inlineStr"/>
      <c r="F118" t="inlineStr">
        <is>
          <t>F</t>
        </is>
      </c>
    </row>
    <row r="119">
      <c r="A119" s="7" t="inlineStr">
        <is>
          <t>F4</t>
        </is>
      </c>
      <c r="B119" s="7" t="inlineStr">
        <is>
          <t>Alat pelalian digunakan untuk haiwan halal sahaja dan tidak dikongsi dengan premis atau aktiviti lain.</t>
        </is>
      </c>
      <c r="C119" s="7" t="inlineStr">
        <is>
          <t>MPPHM 17(5)(a); MS 1500:2009 Lampiran A*</t>
        </is>
      </c>
      <c r="D119" s="7" t="inlineStr"/>
      <c r="E119" s="7" t="inlineStr"/>
      <c r="F119" t="inlineStr">
        <is>
          <t>F</t>
        </is>
      </c>
    </row>
    <row r="120">
      <c r="A120" s="7" t="inlineStr">
        <is>
          <t>F5</t>
        </is>
      </c>
      <c r="B120" s="7" t="inlineStr">
        <is>
          <t>Parameter pelalian elektrik (arus dan tempoh) bagi setiap spesies atau kategori haiwan ditetapkan dalam prosedur dan berada dalam julat garis panduan Lampiran C MPPHM (cth. ayam 0.20-0.60 A selama 3.00-5.00 saat; kambing 0.70-1.00 A selama 2.00-3.00 saat; lembu ibu 2.00-3.00 A selama 2.50-3.50 saat; kerbau 2.50-3.50 A selama 3.00-4.00 saat).</t>
        </is>
      </c>
      <c r="C120" s="7" t="inlineStr">
        <is>
          <t>MPPHM Lampiran C</t>
        </is>
      </c>
      <c r="D120" s="7" t="inlineStr"/>
      <c r="E120" s="7" t="inlineStr"/>
      <c r="F120" t="inlineStr">
        <is>
          <t>F</t>
        </is>
      </c>
    </row>
    <row r="121">
      <c r="A121" s="7" t="inlineStr">
        <is>
          <t>F6</t>
        </is>
      </c>
      <c r="B121" s="7" t="inlineStr">
        <is>
          <t>Tetapan sebenar pada alat pelalian semasa audit (paparan arus atau voltan dan pemasa) berada dalam julat yang ditetapkan bagi spesies yang sedang disembelih.</t>
        </is>
      </c>
      <c r="C121" s="7" t="inlineStr">
        <is>
          <t>MPPHM Lampiran C; MHMS Lampiran C1</t>
        </is>
      </c>
      <c r="D121" s="7" t="inlineStr"/>
      <c r="E121" s="7" t="inlineStr"/>
      <c r="F121" t="inlineStr">
        <is>
          <t>F</t>
        </is>
      </c>
    </row>
    <row r="122">
      <c r="A122" s="7" t="inlineStr">
        <is>
          <t>F7</t>
        </is>
      </c>
      <c r="B122" s="7" t="inlineStr">
        <is>
          <t>Parameter pelalian (voltan, arus, frekuensi jika berkaitan, dan tempoh) direkodkan secara berkala (cth. setiap syif atau setiap kumpulan haiwan) mengikut spesies, dan disemak oleh Eksekutif atau Penyelia Halal.</t>
        </is>
      </c>
      <c r="C122" s="7" t="inlineStr">
        <is>
          <t>MHMS Lampiran C1, Lampiran E; MPPHM Lampiran C</t>
        </is>
      </c>
      <c r="D122" s="7" t="inlineStr"/>
      <c r="E122" s="7" t="inlineStr"/>
      <c r="F122" t="inlineStr">
        <is>
          <t>F</t>
        </is>
      </c>
    </row>
    <row r="123">
      <c r="A123" s="7" t="inlineStr">
        <is>
          <t>F8</t>
        </is>
      </c>
      <c r="B123" s="7" t="inlineStr">
        <is>
          <t>Alat pelalian dan meter arusnya diselenggara dan ditentukur mengikut jadual, dengan rekod.</t>
        </is>
      </c>
      <c r="C123" s="7" t="inlineStr">
        <is>
          <t>MPPHM 17(5)(e)</t>
        </is>
      </c>
      <c r="D123" s="7" t="inlineStr"/>
      <c r="E123" s="7" t="inlineStr"/>
      <c r="F123" t="inlineStr">
        <is>
          <t>F</t>
        </is>
      </c>
    </row>
    <row r="124">
      <c r="A124" s="7" t="inlineStr">
        <is>
          <t>F9</t>
        </is>
      </c>
      <c r="B124" s="7" t="inlineStr">
        <is>
          <t>Proses pelalian dikawal selia oleh pekerja Muslim yang bertauliah dan dilantik sepanjang operasi.</t>
        </is>
      </c>
      <c r="C124" s="7" t="inlineStr">
        <is>
          <t>Fatwa MKI 2005 (stunning); MHMS Lampiran C1</t>
        </is>
      </c>
      <c r="D124" s="7" t="inlineStr"/>
      <c r="E124" s="7" t="inlineStr"/>
      <c r="F124" t="inlineStr">
        <is>
          <t>F</t>
        </is>
      </c>
    </row>
    <row r="125">
      <c r="A125" s="7" t="inlineStr">
        <is>
          <t>F10</t>
        </is>
      </c>
      <c r="B125" s="7" t="inlineStr">
        <is>
          <t>Pelalian tidak menyebabkan kematian atau keretakan tengkorak: pemeriksa halal memeriksa perkara ini, dan semakan berkala (cth. sampel ayam dibiarkan pulih selepas waterbath) menunjukkan haiwan masih bernyawa sebelum dan selepas pelalian, dengan rekod.</t>
        </is>
      </c>
      <c r="C125" s="7" t="inlineStr">
        <is>
          <t>MPPHM 18(7)(g)(iv)(c); MHMS Lampiran E</t>
        </is>
      </c>
      <c r="D125" s="7" t="inlineStr"/>
      <c r="E125" s="7" t="inlineStr"/>
      <c r="F125" t="inlineStr">
        <is>
          <t>F</t>
        </is>
      </c>
    </row>
    <row r="126">
      <c r="A126" s="7" t="inlineStr">
        <is>
          <t>F11</t>
        </is>
      </c>
      <c r="B126" s="7" t="inlineStr">
        <is>
          <t>Haiwan disembelih sejurus selepas pelalian (sela masa pelalian ke sembelihan singkat dan ditetapkan dalam prosedur) supaya haiwan masih bernyawa ketika urat dipotong.</t>
        </is>
      </c>
      <c r="C126" s="7" t="inlineStr">
        <is>
          <t>MPPHM 18(7)(g)(iii)(c), Lampiran C; MHMS Lampiran C1</t>
        </is>
      </c>
      <c r="D126" s="7" t="inlineStr"/>
      <c r="E126" s="7" t="inlineStr"/>
      <c r="F126" t="inlineStr">
        <is>
          <t>F</t>
        </is>
      </c>
    </row>
    <row r="127">
      <c r="A127" s="7" t="inlineStr">
        <is>
          <t>F12</t>
        </is>
      </c>
      <c r="B127" s="7" t="inlineStr">
        <is>
          <t>Haiwan yang mati selepas pelalian dan sebelum disembelih dikenal pasti, diasingkan dan dilabel tidak halal.</t>
        </is>
      </c>
      <c r="C127" s="7" t="inlineStr">
        <is>
          <t>MPPHM 18(7)(g)(iv)(d)</t>
        </is>
      </c>
      <c r="D127" s="7" t="inlineStr"/>
      <c r="E127" s="7" t="inlineStr"/>
      <c r="F127" t="inlineStr">
        <is>
          <t>F</t>
        </is>
      </c>
    </row>
    <row r="128">
      <c r="A128" s="4" t="inlineStr">
        <is>
          <t>Bahagian G: Penyembelihan &amp; Pemeriksaan Halal Selepas Sembelihan</t>
        </is>
      </c>
      <c r="B128" s="5" t="n"/>
      <c r="C128" s="5" t="n"/>
      <c r="D128" s="5" t="n"/>
      <c r="E128" s="6" t="n"/>
    </row>
    <row r="129" ht="26" customHeight="1">
      <c r="A129" s="2" t="inlineStr">
        <is>
          <t>Perhatikan beberapa kitaran sembelihan, dari penggantungan atau pengekangan haiwan hingga pendarahan, dan sahkan pemeriksaan halal selepas sembelihan serta pengendalian haiwan yang tidak sempurna sembelihan.</t>
        </is>
      </c>
    </row>
    <row r="130">
      <c r="A130" s="7" t="inlineStr">
        <is>
          <t>G1</t>
        </is>
      </c>
      <c r="B130" s="7" t="inlineStr">
        <is>
          <t>Sabah: tiada sembelihan dijalankan tanpa kehadiran inspektor yang ditugaskan oleh Pengarah.</t>
        </is>
      </c>
      <c r="C130" s="7" t="inlineStr">
        <is>
          <t>Kaedah Rumah Sembelihan Sabah k. 12</t>
        </is>
      </c>
      <c r="D130" s="7" t="inlineStr"/>
      <c r="E130" s="7" t="inlineStr"/>
      <c r="F130" t="inlineStr">
        <is>
          <t>G</t>
        </is>
      </c>
    </row>
    <row r="131">
      <c r="A131" s="7" t="inlineStr">
        <is>
          <t>G2</t>
        </is>
      </c>
      <c r="B131" s="7" t="inlineStr">
        <is>
          <t>Haiwan dikendalikan dengan baik sebelum dan semasa sembelihan (cth. poltri digantung dengan cermat, ruminan dikekang tanpa diseksa).</t>
        </is>
      </c>
      <c r="C131" s="7" t="inlineStr">
        <is>
          <t>MPPHM 18(7)(g)(vi)(a); Akta Kebajikan Haiwan 2015 s. 29</t>
        </is>
      </c>
      <c r="D131" s="7" t="inlineStr"/>
      <c r="E131" s="7" t="inlineStr"/>
      <c r="F131" t="inlineStr">
        <is>
          <t>G</t>
        </is>
      </c>
    </row>
    <row r="132">
      <c r="A132" s="7" t="inlineStr">
        <is>
          <t>G3</t>
        </is>
      </c>
      <c r="B132" s="7" t="inlineStr">
        <is>
          <t>Sembelihan dilakukan dengan niat kerana Allah, bukan untuk tujuan selain Allah (cth. upacara pemujaan atau persembahan).</t>
        </is>
      </c>
      <c r="C132" s="7" t="inlineStr">
        <is>
          <t>MPPHM 18(7)(g)(vi)(b), 17(3)(d)</t>
        </is>
      </c>
      <c r="D132" s="7" t="inlineStr"/>
      <c r="E132" s="7" t="inlineStr"/>
      <c r="F132" t="inlineStr">
        <is>
          <t>G</t>
        </is>
      </c>
    </row>
    <row r="133">
      <c r="A133" s="7" t="inlineStr">
        <is>
          <t>G4</t>
        </is>
      </c>
      <c r="B133" s="7" t="inlineStr">
        <is>
          <t>Penyembelih melafazkan tasmiyah ketika menyembelih (sejurus sebelum memotong), disahkan melalui pemerhatian dan temu bual.</t>
        </is>
      </c>
      <c r="C133" s="7" t="inlineStr">
        <is>
          <t>MPPHM 18(7)(g)(vi)(c); MS 1500:2009 kl. 3.5.2.1(g)*</t>
        </is>
      </c>
      <c r="D133" s="7" t="inlineStr"/>
      <c r="E133" s="7" t="inlineStr"/>
      <c r="F133" t="inlineStr">
        <is>
          <t>G</t>
        </is>
      </c>
    </row>
    <row r="134">
      <c r="A134" s="7" t="inlineStr">
        <is>
          <t>G5</t>
        </is>
      </c>
      <c r="B134" s="7" t="inlineStr">
        <is>
          <t>Penyembelih atau talian sembelihan menghadap kiblat (digalakkan, bukan syarat wajib).</t>
        </is>
      </c>
      <c r="C134" s="7" t="inlineStr">
        <is>
          <t>MPPHM 18(7)(g)(vi)(d)</t>
        </is>
      </c>
      <c r="D134" s="7" t="inlineStr"/>
      <c r="E134" s="7" t="inlineStr"/>
      <c r="F134" t="inlineStr">
        <is>
          <t>G</t>
        </is>
      </c>
    </row>
    <row r="135">
      <c r="A135" s="7" t="inlineStr">
        <is>
          <t>G6</t>
        </is>
      </c>
      <c r="B135" s="7" t="inlineStr">
        <is>
          <t>Penyembelih memastikan setiap haiwan masih bernyawa (hayah al-mustaqirrah) ketika disembelih, iaitu darah terpancut semasa disembelih atau haiwan masih bergerak.</t>
        </is>
      </c>
      <c r="C135" s="7" t="inlineStr">
        <is>
          <t>MPPHM 3, 18(7)(g)(ii)(c), 18(7)(g)(iii)(c); MS 1500:2009 kl. 3.5*</t>
        </is>
      </c>
      <c r="D135" s="7" t="inlineStr"/>
      <c r="E135" s="7" t="inlineStr"/>
      <c r="F135" t="inlineStr">
        <is>
          <t>G</t>
        </is>
      </c>
    </row>
    <row r="136">
      <c r="A136" s="7" t="inlineStr">
        <is>
          <t>G7</t>
        </is>
      </c>
      <c r="B136" s="7" t="inlineStr">
        <is>
          <t>Sembelihan memutuskan saluran pernafasan (halkum), saluran makanan (merih atau mari') dan kedua-dua arteri karotid serta vena jugular (wadajain).</t>
        </is>
      </c>
      <c r="C136" s="7" t="inlineStr">
        <is>
          <t>MPPHM 18(7)(g)(vi)(e); MS 1500:2009 kl. 3.5.2.1(n)*</t>
        </is>
      </c>
      <c r="D136" s="7" t="inlineStr"/>
      <c r="E136" s="7" t="inlineStr"/>
      <c r="F136" t="inlineStr">
        <is>
          <t>G</t>
        </is>
      </c>
    </row>
    <row r="137">
      <c r="A137" s="7" t="inlineStr">
        <is>
          <t>G8</t>
        </is>
      </c>
      <c r="B137" s="7" t="inlineStr">
        <is>
          <t>Sembelihan dilakukan dengan memotong pada bahagian leher haiwan.</t>
        </is>
      </c>
      <c r="C137" s="7" t="inlineStr">
        <is>
          <t>MPPHM 18(7)(g)(vi)(f)</t>
        </is>
      </c>
      <c r="D137" s="7" t="inlineStr"/>
      <c r="E137" s="7" t="inlineStr"/>
      <c r="F137" t="inlineStr">
        <is>
          <t>G</t>
        </is>
      </c>
    </row>
    <row r="138">
      <c r="A138" s="7" t="inlineStr">
        <is>
          <t>G9</t>
        </is>
      </c>
      <c r="B138" s="7" t="inlineStr">
        <is>
          <t>Sembelihan dilakukan sekali sahaja; gerakan pisau berulang dibenarkan selagi pisau tidak diangkat daripada leher haiwan.</t>
        </is>
      </c>
      <c r="C138" s="7" t="inlineStr">
        <is>
          <t>MS 1500:2009 kl. 3.5.2.1(k)*</t>
        </is>
      </c>
      <c r="D138" s="7" t="inlineStr"/>
      <c r="E138" s="7" t="inlineStr"/>
      <c r="F138" t="inlineStr">
        <is>
          <t>G</t>
        </is>
      </c>
    </row>
    <row r="139">
      <c r="A139" s="7" t="inlineStr">
        <is>
          <t>G10</t>
        </is>
      </c>
      <c r="B139" s="7" t="inlineStr">
        <is>
          <t>Di checkpoint selepas sembelihan, pemeriksa halal mengesahkan halkum, merih dan wadajain putus dengan sempurna pada haiwan yang disembelih.</t>
        </is>
      </c>
      <c r="C139" s="7" t="inlineStr">
        <is>
          <t>MPPHM 18(7)(g)(iv)(c)</t>
        </is>
      </c>
      <c r="D139" s="7" t="inlineStr"/>
      <c r="E139" s="7" t="inlineStr"/>
      <c r="F139" t="inlineStr">
        <is>
          <t>G</t>
        </is>
      </c>
    </row>
    <row r="140">
      <c r="A140" s="7" t="inlineStr">
        <is>
          <t>G11</t>
        </is>
      </c>
      <c r="B140" s="7" t="inlineStr">
        <is>
          <t>Darah mengalir dengan sempurna, dan tempoh pendarahan (bleeding time) yang ditetapkan dipatuhi sebelum haiwan dibawa ke peringkat seterusnya.</t>
        </is>
      </c>
      <c r="C140" s="7" t="inlineStr">
        <is>
          <t>MHMS Lampiran E; MS 1500:2009 kl. 3.5.2.1(n)*</t>
        </is>
      </c>
      <c r="D140" s="7" t="inlineStr"/>
      <c r="E140" s="7" t="inlineStr"/>
      <c r="F140" t="inlineStr">
        <is>
          <t>G</t>
        </is>
      </c>
    </row>
    <row r="141">
      <c r="A141" s="7" t="inlineStr">
        <is>
          <t>G12</t>
        </is>
      </c>
      <c r="B141" s="7" t="inlineStr">
        <is>
          <t>Haiwan disahkan telah mati sebelum aktiviti pemprosesan selanjutnya (penceluran, melapah, atau memotong kepala atau kaki).</t>
        </is>
      </c>
      <c r="C141" s="7" t="inlineStr">
        <is>
          <t>MPPHM 18(7)(g)(iv)(c); MHMS Lampiran E; MS 1500:2009 kl. 3.5*</t>
        </is>
      </c>
      <c r="D141" s="7" t="inlineStr"/>
      <c r="E141" s="7" t="inlineStr"/>
      <c r="F141" t="inlineStr">
        <is>
          <t>G</t>
        </is>
      </c>
    </row>
    <row r="142">
      <c r="A142" s="7" t="inlineStr">
        <is>
          <t>G13</t>
        </is>
      </c>
      <c r="B142" s="7" t="inlineStr">
        <is>
          <t>Haiwan yang terlepas sembelihan tetapi masih bernyawa disembelih dengan sempurna oleh penyembelih bertauliah sebelum dibawa ke peringkat seterusnya.</t>
        </is>
      </c>
      <c r="C142" s="7" t="inlineStr">
        <is>
          <t>MPPHM 18(7)(g)(iii)(c), 18(7)(g)(iii)(d)</t>
        </is>
      </c>
      <c r="D142" s="7" t="inlineStr"/>
      <c r="E142" s="7" t="inlineStr"/>
      <c r="F142" t="inlineStr">
        <is>
          <t>G</t>
        </is>
      </c>
    </row>
    <row r="143">
      <c r="A143" s="7" t="inlineStr">
        <is>
          <t>G14</t>
        </is>
      </c>
      <c r="B143" s="7" t="inlineStr">
        <is>
          <t>Haiwan yang tidak sempurna disembelih (urat tidak putus dengan sempurna, atau terlepas sembelihan dan telah mati) dikeluarkan dari talian, dimasukkan ke dalam bekas khas dan dilabel tidak halal.</t>
        </is>
      </c>
      <c r="C143" s="7" t="inlineStr">
        <is>
          <t>MPPHM 18(7)(g)(iv)(d); MHMS Lampiran H</t>
        </is>
      </c>
      <c r="D143" s="7" t="inlineStr"/>
      <c r="E143" s="7" t="inlineStr"/>
      <c r="F143" t="inlineStr">
        <is>
          <t>G</t>
        </is>
      </c>
    </row>
    <row r="144">
      <c r="A144" s="7" t="inlineStr">
        <is>
          <t>G15</t>
        </is>
      </c>
      <c r="B144" s="7" t="inlineStr">
        <is>
          <t>Bilangan dan punca haiwan yang tidak sempurna sembelihan direkodkan, dan tindakan pembetulan (cth. tukar pisau, latihan semula penyembelih) diambil dan direkodkan.</t>
        </is>
      </c>
      <c r="C144" s="7" t="inlineStr">
        <is>
          <t>MHMS 5(6), Lampiran H</t>
        </is>
      </c>
      <c r="D144" s="7" t="inlineStr"/>
      <c r="E144" s="7" t="inlineStr"/>
      <c r="F144" t="inlineStr">
        <is>
          <t>G</t>
        </is>
      </c>
    </row>
    <row r="145">
      <c r="A145" s="7" t="inlineStr">
        <is>
          <t>G16</t>
        </is>
      </c>
      <c r="B145" s="7" t="inlineStr">
        <is>
          <t>Karkas tidak halal dan yang ditolak dilupuskan secara terkawal, tidak dijual atau diedarkan sebagai makanan halal, dan rekod pelupusan disimpan.</t>
        </is>
      </c>
      <c r="C145" s="7" t="inlineStr">
        <is>
          <t>MPPHM 18(7)(g)(iv)(d), 17(10)(g)</t>
        </is>
      </c>
      <c r="D145" s="7" t="inlineStr"/>
      <c r="E145" s="7" t="inlineStr"/>
      <c r="F145" t="inlineStr">
        <is>
          <t>G</t>
        </is>
      </c>
    </row>
    <row r="146">
      <c r="A146" s="7" t="inlineStr">
        <is>
          <t>G17</t>
        </is>
      </c>
      <c r="B146" s="7" t="inlineStr">
        <is>
          <t>Pisau mekanikal (jika digunakan bagi poltri dan diterima pihak berkuasa pensijilan): pengendali ialah penyembelih Muslim bertauliah yang melafazkan tasmiyah sebelum menekan suis, memerhati haiwan yang disembelih, dan tidak meninggalkan tempat sembelihan atau melakukan kerja lain semasa operasi.</t>
        </is>
      </c>
      <c r="C146" s="7" t="inlineStr">
        <is>
          <t>Fatwa MKI 2000 (pisau mekanikal); MPPHM 18(7)(g)(iii)(b), 17(16)(b)</t>
        </is>
      </c>
      <c r="D146" s="7" t="inlineStr"/>
      <c r="E146" s="7" t="inlineStr"/>
      <c r="F146" t="inlineStr">
        <is>
          <t>G</t>
        </is>
      </c>
    </row>
    <row r="147">
      <c r="A147" s="7" t="inlineStr">
        <is>
          <t>G18</t>
        </is>
      </c>
      <c r="B147" s="7" t="inlineStr">
        <is>
          <t>Pisau mekanikal (jika digunakan): penyembelih manual bertauliah dan pemeriksa halal ditempatkan selepas mesin untuk memeriksa potongan dan menyembelih poltri yang tidak tersembelih dengan sempurna.</t>
        </is>
      </c>
      <c r="C147" s="7" t="inlineStr">
        <is>
          <t>MPPHM 18(7)(g)(iii)(d), 18(7)(g)(iv)(c)</t>
        </is>
      </c>
      <c r="D147" s="7" t="inlineStr"/>
      <c r="E147" s="7" t="inlineStr"/>
      <c r="F147" t="inlineStr">
        <is>
          <t>G</t>
        </is>
      </c>
    </row>
    <row r="148">
      <c r="A148" s="4" t="inlineStr">
        <is>
          <t>Bahagian H: Pemprosesan Karkas, Pendinginan &amp; Pemotongan</t>
        </is>
      </c>
      <c r="B148" s="5" t="n"/>
      <c r="C148" s="5" t="n"/>
      <c r="D148" s="5" t="n"/>
      <c r="E148" s="6" t="n"/>
    </row>
    <row r="149" ht="26" customHeight="1">
      <c r="A149" s="2" t="inlineStr">
        <is>
          <t>Ikuti karkas dari penceluran atau melapah hingga penyiangan, pemeriksaan post-mortem, pendinginan, pemotongan dan pembungkusan, dan periksa kebersihan, pengasingan serta suhu.</t>
        </is>
      </c>
    </row>
    <row r="150">
      <c r="A150" s="7" t="inlineStr">
        <is>
          <t>H1</t>
        </is>
      </c>
      <c r="B150" s="7" t="inlineStr">
        <is>
          <t>Kawasan pemprosesan bersih, teratur dan bebas daripada bahan serta produk tidak halal, dan tidak digunakan untuk tujuan lain tanpa kawalan halal.</t>
        </is>
      </c>
      <c r="C150" s="7" t="inlineStr">
        <is>
          <t>MPPHM 17(3)(b), 17(3)(c), 17(3)(f)</t>
        </is>
      </c>
      <c r="D150" s="7" t="inlineStr"/>
      <c r="E150" s="7" t="inlineStr"/>
      <c r="F150" t="inlineStr">
        <is>
          <t>H</t>
        </is>
      </c>
    </row>
    <row r="151">
      <c r="A151" s="7" t="inlineStr">
        <is>
          <t>H2</t>
        </is>
      </c>
      <c r="B151" s="7" t="inlineStr">
        <is>
          <t>Pemprosesan selepas sembelihan memenuhi Hukum Syarak serta amalan kebersihan dan pengilangan yang baik (GHP/GMP).</t>
        </is>
      </c>
      <c r="C151" s="7" t="inlineStr">
        <is>
          <t>MPPHM 17(3)(a), 17(3)(e); MS 1500:2019 kl. 4.4*</t>
        </is>
      </c>
      <c r="D151" s="7" t="inlineStr"/>
      <c r="E151" s="7" t="inlineStr"/>
      <c r="F151" t="inlineStr">
        <is>
          <t>H</t>
        </is>
      </c>
    </row>
    <row r="152">
      <c r="A152" s="7" t="inlineStr">
        <is>
          <t>H3</t>
        </is>
      </c>
      <c r="B152" s="7" t="inlineStr">
        <is>
          <t>Air penceluran diselenggara bersih, suhunya dipantau, dan air ditukar mengikut prosedur.</t>
        </is>
      </c>
      <c r="C152" s="7" t="inlineStr">
        <is>
          <t>MPPHM 17(3)(e); Skim VHM JPV</t>
        </is>
      </c>
      <c r="D152" s="7" t="inlineStr"/>
      <c r="E152" s="7" t="inlineStr"/>
      <c r="F152" t="inlineStr">
        <is>
          <t>H</t>
        </is>
      </c>
    </row>
    <row r="153">
      <c r="A153" s="7" t="inlineStr">
        <is>
          <t>H4</t>
        </is>
      </c>
      <c r="B153" s="7" t="inlineStr">
        <is>
          <t>Pembuangan bulu atau kulit dan penyiangan dilakukan tanpa mencemarkan karkas dengan kandungan usus, dan karkas yang tercemar dibersihkan atau diasingkan.</t>
        </is>
      </c>
      <c r="C153" s="7" t="inlineStr">
        <is>
          <t>PKM per. 36(1); MPPHM 17(3)(e)</t>
        </is>
      </c>
      <c r="D153" s="7" t="inlineStr"/>
      <c r="E153" s="7" t="inlineStr"/>
      <c r="F153" t="inlineStr">
        <is>
          <t>H</t>
        </is>
      </c>
    </row>
    <row r="154">
      <c r="A154" s="7" t="inlineStr">
        <is>
          <t>H5</t>
        </is>
      </c>
      <c r="B154" s="7" t="inlineStr">
        <is>
          <t>Organ boleh dimakan (cth. hati, hempedal, jantung, kaki) diasingkan daripada bahan yang tidak boleh dimakan dan dikendalikan dalam bekas khas yang bersih.</t>
        </is>
      </c>
      <c r="C154" s="7" t="inlineStr">
        <is>
          <t>MPPHM 17(3)(e), 17(4)(b)</t>
        </is>
      </c>
      <c r="D154" s="7" t="inlineStr"/>
      <c r="E154" s="7" t="inlineStr"/>
      <c r="F154" t="inlineStr">
        <is>
          <t>H</t>
        </is>
      </c>
    </row>
    <row r="155">
      <c r="A155" s="7" t="inlineStr">
        <is>
          <t>H6</t>
        </is>
      </c>
      <c r="B155" s="7" t="inlineStr">
        <is>
          <t>Pemeriksaan post-mortem dibuat oleh pegawai JPV atau orang yang diberi kuasa, dan karkas atau organ yang ditolak dikenal pasti, diasingkan, direkodkan dan tidak dijual sebagai makanan.</t>
        </is>
      </c>
      <c r="C155" s="7" t="inlineStr">
        <is>
          <t>Skim VHM JPV</t>
        </is>
      </c>
      <c r="D155" s="7" t="inlineStr"/>
      <c r="E155" s="7" t="inlineStr"/>
      <c r="F155" t="inlineStr">
        <is>
          <t>H</t>
        </is>
      </c>
    </row>
    <row r="156">
      <c r="A156" s="7" t="inlineStr">
        <is>
          <t>H7</t>
        </is>
      </c>
      <c r="B156" s="7" t="inlineStr">
        <is>
          <t>Karkas halal yang telah disahkan tidak bercampur dengan karkas tidak halal, karkas yang ditolak atau karkas dari sumber yang tidak disahkan pada mana-mana peringkat (talian, tangki penyejuk, bilik sejuk).</t>
        </is>
      </c>
      <c r="C156" s="7" t="inlineStr">
        <is>
          <t>MPPHM 18(7)(g)(iv)(d), 17(3)(b)</t>
        </is>
      </c>
      <c r="D156" s="7" t="inlineStr"/>
      <c r="E156" s="7" t="inlineStr"/>
      <c r="F156" t="inlineStr">
        <is>
          <t>H</t>
        </is>
      </c>
    </row>
    <row r="157">
      <c r="A157" s="7" t="inlineStr">
        <is>
          <t>H8</t>
        </is>
      </c>
      <c r="B157" s="7" t="inlineStr">
        <is>
          <t>Kawasan penyediaan daging dibersihkan dan dinyahkuman sebelum dan selepas digunakan pada setiap hari bekerja.</t>
        </is>
      </c>
      <c r="C157" s="7" t="inlineStr">
        <is>
          <t>PKM per. 39(1)(a)</t>
        </is>
      </c>
      <c r="D157" s="7" t="inlineStr"/>
      <c r="E157" s="7" t="inlineStr"/>
      <c r="F157" t="inlineStr">
        <is>
          <t>H</t>
        </is>
      </c>
    </row>
    <row r="158">
      <c r="A158" s="7" t="inlineStr">
        <is>
          <t>H9</t>
        </is>
      </c>
      <c r="B158" s="7" t="inlineStr">
        <is>
          <t>Kawasan atau peralatan untuk memotong dan menyahtulang daging dikhaskan bagi tujuan itu, dan kawasannya dikekalkan di bawah 15°C.</t>
        </is>
      </c>
      <c r="C158" s="7" t="inlineStr">
        <is>
          <t>PKM per. 39(1)(b)</t>
        </is>
      </c>
      <c r="D158" s="7" t="inlineStr"/>
      <c r="E158" s="7" t="inlineStr"/>
      <c r="F158" t="inlineStr">
        <is>
          <t>H</t>
        </is>
      </c>
    </row>
    <row r="159">
      <c r="A159" s="7" t="inlineStr">
        <is>
          <t>H10</t>
        </is>
      </c>
      <c r="B159" s="7" t="inlineStr">
        <is>
          <t>Peralatan pemprosesan daging diperbuat daripada bahan yang licin, tahan kakisan dan mudah dibersihkan.</t>
        </is>
      </c>
      <c r="C159" s="7" t="inlineStr">
        <is>
          <t>PKM per. 39(2)</t>
        </is>
      </c>
      <c r="D159" s="7" t="inlineStr"/>
      <c r="E159" s="7" t="inlineStr"/>
      <c r="F159" t="inlineStr">
        <is>
          <t>H</t>
        </is>
      </c>
    </row>
    <row r="160">
      <c r="A160" s="7" t="inlineStr">
        <is>
          <t>H11</t>
        </is>
      </c>
      <c r="B160" s="7" t="inlineStr">
        <is>
          <t>Karkas dan daging tidak dibiarkan lama pada suhu bilik, dan dimasukkan ke proses pendinginan dengan segera selepas pemprosesan.</t>
        </is>
      </c>
      <c r="C160" s="7" t="inlineStr">
        <is>
          <t>PKM per. 36(1)(k), 36(1)(l)</t>
        </is>
      </c>
      <c r="D160" s="7" t="inlineStr"/>
      <c r="E160" s="7" t="inlineStr"/>
      <c r="F160" t="inlineStr">
        <is>
          <t>H</t>
        </is>
      </c>
    </row>
    <row r="161">
      <c r="A161" s="7" t="inlineStr">
        <is>
          <t>H12</t>
        </is>
      </c>
      <c r="B161" s="7" t="inlineStr">
        <is>
          <t>Air dan ais yang digunakan untuk mencuci atau menyejukkan karkas (cth. dalam tangki penyejuk) ialah air terawat atau dibuat daripada air terawat.</t>
        </is>
      </c>
      <c r="C161" s="7" t="inlineStr">
        <is>
          <t>PKM per. 14, 35(1)</t>
        </is>
      </c>
      <c r="D161" s="7" t="inlineStr"/>
      <c r="E161" s="7" t="inlineStr"/>
      <c r="F161" t="inlineStr">
        <is>
          <t>H</t>
        </is>
      </c>
    </row>
    <row r="162">
      <c r="A162" s="7" t="inlineStr">
        <is>
          <t>H13</t>
        </is>
      </c>
      <c r="B162" s="7" t="inlineStr">
        <is>
          <t>Bahan kimia yang ditambah ke dalam air pencucian atau penyejukan karkas (cth. klorin, asid organik) adalah gred makanan, berstatus halal atau mempunyai dokumen sokongan, dan digunakan pada kadar yang ditetapkan tanpa meninggalkan sisa berbahaya.</t>
        </is>
      </c>
      <c r="C162" s="7" t="inlineStr">
        <is>
          <t>MPPHM 17(1)(a), 17(1)(d); PKM per. 35(3); Akta Makanan 1983 s. 13</t>
        </is>
      </c>
      <c r="D162" s="7" t="inlineStr"/>
      <c r="E162" s="7" t="inlineStr"/>
      <c r="F162" t="inlineStr">
        <is>
          <t>H</t>
        </is>
      </c>
    </row>
    <row r="163">
      <c r="A163" s="7" t="inlineStr">
        <is>
          <t>H14</t>
        </is>
      </c>
      <c r="B163" s="7" t="inlineStr">
        <is>
          <t>Produk yang dikeluarkan (karkas, potongan dan produk lain) sejajar dengan rekod pemprosesan terkini dan senarai produk dalam MYeHALAL.</t>
        </is>
      </c>
      <c r="C163" s="7" t="inlineStr">
        <is>
          <t>MPPHM 17(2)(d)</t>
        </is>
      </c>
      <c r="D163" s="7" t="inlineStr"/>
      <c r="E163" s="7" t="inlineStr"/>
      <c r="F163" t="inlineStr">
        <is>
          <t>H</t>
        </is>
      </c>
    </row>
    <row r="164">
      <c r="A164" s="7" t="inlineStr">
        <is>
          <t>H15</t>
        </is>
      </c>
      <c r="B164" s="7" t="inlineStr">
        <is>
          <t>Hasil sampingan yang tidak dipohon SPHM (cth. darah, bulu, usus atau tulang untuk kegunaan lain) dikendalikan dan disimpan berasingan daripada produk halal.</t>
        </is>
      </c>
      <c r="C164" s="7" t="inlineStr">
        <is>
          <t>MPPHM 17(4)(b), 17(4)(c)</t>
        </is>
      </c>
      <c r="D164" s="7" t="inlineStr"/>
      <c r="E164" s="7" t="inlineStr"/>
      <c r="F164" t="inlineStr">
        <is>
          <t>H</t>
        </is>
      </c>
    </row>
    <row r="165">
      <c r="A165" s="4" t="inlineStr">
        <is>
          <t>Bahagian I: Peralatan, Bahan Bantu &amp; Bahan Kimia</t>
        </is>
      </c>
      <c r="B165" s="5" t="n"/>
      <c r="C165" s="5" t="n"/>
      <c r="D165" s="5" t="n"/>
      <c r="E165" s="6" t="n"/>
    </row>
    <row r="166" ht="26" customHeight="1">
      <c r="A166" s="2" t="inlineStr">
        <is>
          <t>Periksa talian dan mesin sembelihan serta pemprosesan, meja dan kelengkapan, kemudahan mencuci peralatan, dan pelincir, bahan pencuci serta disinfektan yang digunakan.</t>
        </is>
      </c>
    </row>
    <row r="167">
      <c r="A167" s="7" t="inlineStr">
        <is>
          <t>I1</t>
        </is>
      </c>
      <c r="B167" s="7" t="inlineStr">
        <is>
          <t>Peralatan dan mesin (talian penggantungan, penceluran, pembuang bulu, penyiangan, penyejuk, pemotong) digunakan untuk haiwan dan produk halal sahaja.</t>
        </is>
      </c>
      <c r="C167" s="7" t="inlineStr">
        <is>
          <t>MPPHM 17(5)(a); MS 1500:2019 kl. 4.3*</t>
        </is>
      </c>
      <c r="D167" s="7" t="inlineStr"/>
      <c r="E167" s="7" t="inlineStr"/>
      <c r="F167" t="inlineStr">
        <is>
          <t>I</t>
        </is>
      </c>
    </row>
    <row r="168">
      <c r="A168" s="7" t="inlineStr">
        <is>
          <t>I2</t>
        </is>
      </c>
      <c r="B168" s="7" t="inlineStr">
        <is>
          <t>Peralatan terpakai yang dibeli atau dipindahkan dari premis lain disahkan tidak pernah digunakan untuk babi atau produk tidak halal, atau telah disertu sebelum digunakan.</t>
        </is>
      </c>
      <c r="C168" s="7" t="inlineStr">
        <is>
          <t>MPPHM 17(5)(h); MS 1500:2019 kl. 4.3*, Lampiran A*</t>
        </is>
      </c>
      <c r="D168" s="7" t="inlineStr"/>
      <c r="E168" s="7" t="inlineStr"/>
      <c r="F168" t="inlineStr">
        <is>
          <t>I</t>
        </is>
      </c>
    </row>
    <row r="169">
      <c r="A169" s="7" t="inlineStr">
        <is>
          <t>I3</t>
        </is>
      </c>
      <c r="B169" s="7" t="inlineStr">
        <is>
          <t>Tiada peralatan berlabel atau berimplikasi negatif (cth. berjenama arak).</t>
        </is>
      </c>
      <c r="C169" s="7" t="inlineStr">
        <is>
          <t>MPPHM 17(5)(b)</t>
        </is>
      </c>
      <c r="D169" s="7" t="inlineStr"/>
      <c r="E169" s="7" t="inlineStr"/>
      <c r="F169" t="inlineStr">
        <is>
          <t>I</t>
        </is>
      </c>
    </row>
    <row r="170">
      <c r="A170" s="7" t="inlineStr">
        <is>
          <t>I4</t>
        </is>
      </c>
      <c r="B170" s="7" t="inlineStr">
        <is>
          <t>Status halal peralatan bersumberkan haiwan (cth. berus bulu haiwan) disahkan.</t>
        </is>
      </c>
      <c r="C170" s="7" t="inlineStr">
        <is>
          <t>MPPHM 17(5)(c)</t>
        </is>
      </c>
      <c r="D170" s="7" t="inlineStr"/>
      <c r="E170" s="7" t="inlineStr"/>
      <c r="F170" t="inlineStr">
        <is>
          <t>I</t>
        </is>
      </c>
    </row>
    <row r="171">
      <c r="A171" s="7" t="inlineStr">
        <is>
          <t>I5</t>
        </is>
      </c>
      <c r="B171" s="7" t="inlineStr">
        <is>
          <t>Peralatan dalam keadaan baik, bersih, bebas najis, tidak toksik dan tidak berkarat.</t>
        </is>
      </c>
      <c r="C171" s="7" t="inlineStr">
        <is>
          <t>MPPHM 17(5)(d); PKM per. 35(1)</t>
        </is>
      </c>
      <c r="D171" s="7" t="inlineStr"/>
      <c r="E171" s="7" t="inlineStr"/>
      <c r="F171" t="inlineStr">
        <is>
          <t>I</t>
        </is>
      </c>
    </row>
    <row r="172">
      <c r="A172" s="7" t="inlineStr">
        <is>
          <t>I6</t>
        </is>
      </c>
      <c r="B172" s="7" t="inlineStr">
        <is>
          <t>Meja kerja, rak dan kelengkapan di kawasan pemprosesan dalam keadaan baik dan bersih, dan diperbuat daripada bahan tidak telap yang mudah dibersihkan.</t>
        </is>
      </c>
      <c r="C172" s="7" t="inlineStr">
        <is>
          <t>PKM per. 24</t>
        </is>
      </c>
      <c r="D172" s="7" t="inlineStr"/>
      <c r="E172" s="7" t="inlineStr"/>
      <c r="F172" t="inlineStr">
        <is>
          <t>I</t>
        </is>
      </c>
    </row>
    <row r="173">
      <c r="A173" s="7" t="inlineStr">
        <is>
          <t>I7</t>
        </is>
      </c>
      <c r="B173" s="7" t="inlineStr">
        <is>
          <t>Prosedur dan jadual pembersihan serta penyelenggaraan berkala peralatan (termasuk penimbang dan termometer) dilaksanakan dan direkodkan.</t>
        </is>
      </c>
      <c r="C173" s="7" t="inlineStr">
        <is>
          <t>MPPHM 17(5)(e)</t>
        </is>
      </c>
      <c r="D173" s="7" t="inlineStr"/>
      <c r="E173" s="7" t="inlineStr"/>
      <c r="F173" t="inlineStr">
        <is>
          <t>I</t>
        </is>
      </c>
    </row>
    <row r="174">
      <c r="A174" s="7" t="inlineStr">
        <is>
          <t>I8</t>
        </is>
      </c>
      <c r="B174" s="7" t="inlineStr">
        <is>
          <t>Peralatan yang rosak atau tidak digunakan dikenal pasti, dialihkan atau diasingkan.</t>
        </is>
      </c>
      <c r="C174" s="7" t="inlineStr">
        <is>
          <t>MPPHM 17(5)(f); PKM per. 35(2)</t>
        </is>
      </c>
      <c r="D174" s="7" t="inlineStr"/>
      <c r="E174" s="7" t="inlineStr"/>
      <c r="F174" t="inlineStr">
        <is>
          <t>I</t>
        </is>
      </c>
    </row>
    <row r="175">
      <c r="A175" s="7" t="inlineStr">
        <is>
          <t>I9</t>
        </is>
      </c>
      <c r="B175" s="7" t="inlineStr">
        <is>
          <t>Pelincir gred makanan bagi mesin dan rantai talian berasal daripada sumber halal dan didokumenkan.</t>
        </is>
      </c>
      <c r="C175" s="7" t="inlineStr">
        <is>
          <t>MS 1500:2019 kl. 4.3*; MPPHM 17(1)(d)</t>
        </is>
      </c>
      <c r="D175" s="7" t="inlineStr"/>
      <c r="E175" s="7" t="inlineStr"/>
      <c r="F175" t="inlineStr">
        <is>
          <t>I</t>
        </is>
      </c>
    </row>
    <row r="176">
      <c r="A176" s="7" t="inlineStr">
        <is>
          <t>I10</t>
        </is>
      </c>
      <c r="B176" s="7" t="inlineStr">
        <is>
          <t>Bahan pencuci, disinfektan dan bahan sanitasi berstatus halal (tidak mengandungi bahan najis atau derivatif babi) atau mempunyai dokumen sokongan.</t>
        </is>
      </c>
      <c r="C176" s="7" t="inlineStr">
        <is>
          <t>MS 1500:2019 kl. 4.4*; MHMS 5(7)</t>
        </is>
      </c>
      <c r="D176" s="7" t="inlineStr"/>
      <c r="E176" s="7" t="inlineStr"/>
      <c r="F176" t="inlineStr">
        <is>
          <t>I</t>
        </is>
      </c>
    </row>
    <row r="177">
      <c r="A177" s="7" t="inlineStr">
        <is>
          <t>I11</t>
        </is>
      </c>
      <c r="B177" s="7" t="inlineStr">
        <is>
          <t>Bahan pencuci dan disinfektan dibilas sepenuhnya daripada permukaan yang menyentuh daging.</t>
        </is>
      </c>
      <c r="C177" s="7" t="inlineStr">
        <is>
          <t>PKM per. 35(1)</t>
        </is>
      </c>
      <c r="D177" s="7" t="inlineStr"/>
      <c r="E177" s="7" t="inlineStr"/>
      <c r="F177" t="inlineStr">
        <is>
          <t>I</t>
        </is>
      </c>
    </row>
    <row r="178">
      <c r="A178" s="7" t="inlineStr">
        <is>
          <t>I12</t>
        </is>
      </c>
      <c r="B178" s="7" t="inlineStr">
        <is>
          <t>Bahan kimia toksik, bahan pencuci dan peralatan yang tidak berkaitan disimpan berasingan, berlabel dan terkawal.</t>
        </is>
      </c>
      <c r="C178" s="7" t="inlineStr">
        <is>
          <t>MPPHM 17(3)(g); PKM per. 15(6)</t>
        </is>
      </c>
      <c r="D178" s="7" t="inlineStr"/>
      <c r="E178" s="7" t="inlineStr"/>
      <c r="F178" t="inlineStr">
        <is>
          <t>I</t>
        </is>
      </c>
    </row>
    <row r="179">
      <c r="A179" s="7" t="inlineStr">
        <is>
          <t>I13</t>
        </is>
      </c>
      <c r="B179" s="7" t="inlineStr">
        <is>
          <t>Kemudahan mencuci peralatan tahan karat, mudah dibersihkan dan dibekalkan air panas dan sejuk yang mencukupi, dan bahan serta alat pencuci sentiasa tersedia.</t>
        </is>
      </c>
      <c r="C179" s="7" t="inlineStr">
        <is>
          <t>PKM per. 15(4), 15(5)</t>
        </is>
      </c>
      <c r="D179" s="7" t="inlineStr"/>
      <c r="E179" s="7" t="inlineStr"/>
      <c r="F179" t="inlineStr">
        <is>
          <t>I</t>
        </is>
      </c>
    </row>
    <row r="180">
      <c r="A180" s="7" t="inlineStr">
        <is>
          <t>I14</t>
        </is>
      </c>
      <c r="B180" s="7" t="inlineStr">
        <is>
          <t>Peralatan yang tercemar najis mughallazah disertu, dan rekod sertu disimpan.</t>
        </is>
      </c>
      <c r="C180" s="7" t="inlineStr">
        <is>
          <t>MPPHM 17(5)(h); MHMS 5(12); MS 1500:2019 Lampiran A*</t>
        </is>
      </c>
      <c r="D180" s="7" t="inlineStr"/>
      <c r="E180" s="7" t="inlineStr"/>
      <c r="F180" t="inlineStr">
        <is>
          <t>I</t>
        </is>
      </c>
    </row>
    <row r="181">
      <c r="A181" s="4" t="inlineStr">
        <is>
          <t>Bahagian J: Penyimpanan, Pembungkusan, Pelabelan &amp; Paparan Sijil</t>
        </is>
      </c>
      <c r="B181" s="5" t="n"/>
      <c r="C181" s="5" t="n"/>
      <c r="D181" s="5" t="n"/>
      <c r="E181" s="6" t="n"/>
    </row>
    <row r="182" ht="26" customHeight="1">
      <c r="A182" s="2" t="inlineStr">
        <is>
          <t>Periksa bilik sejuk dan beku, stor bahan bungkusan, kawasan pembungkusan, serta label, tag dan Logo Halal Malaysia pada karkas, kotak dan bungkusan.</t>
        </is>
      </c>
    </row>
    <row r="183">
      <c r="A183" s="7" t="inlineStr">
        <is>
          <t>J1</t>
        </is>
      </c>
      <c r="B183" s="7" t="inlineStr">
        <is>
          <t>Bilik sejuk, bilik beku dan stor menyimpan bahan dan produk halal sahaja, termasuk produk dagangan.</t>
        </is>
      </c>
      <c r="C183" s="7" t="inlineStr">
        <is>
          <t>MPPHM 17(4)(a); PKM per. 38(1); MS 1500:2019 kl. 4.6*</t>
        </is>
      </c>
      <c r="D183" s="7" t="inlineStr"/>
      <c r="E183" s="7" t="inlineStr"/>
      <c r="F183" t="inlineStr">
        <is>
          <t>J</t>
        </is>
      </c>
    </row>
    <row r="184">
      <c r="A184" s="7" t="inlineStr">
        <is>
          <t>J2</t>
        </is>
      </c>
      <c r="B184" s="7" t="inlineStr">
        <is>
          <t>Karkas atau produk yang tidak halal, ditolak atau menunggu keputusan disimpan di kawasan khas yang berasingan dan dilabel dengan jelas.</t>
        </is>
      </c>
      <c r="C184" s="7" t="inlineStr">
        <is>
          <t>MPPHM 17(4)(b), 18(7)(g)(iv)(d)</t>
        </is>
      </c>
      <c r="D184" s="7" t="inlineStr"/>
      <c r="E184" s="7" t="inlineStr"/>
      <c r="F184" t="inlineStr">
        <is>
          <t>J</t>
        </is>
      </c>
    </row>
    <row r="185">
      <c r="A185" s="7" t="inlineStr">
        <is>
          <t>J3</t>
        </is>
      </c>
      <c r="B185" s="7" t="inlineStr">
        <is>
          <t>Karkas disimpan tergantung atau di atas rak tanpa menyentuh lantai dan dinding.</t>
        </is>
      </c>
      <c r="C185" s="7" t="inlineStr">
        <is>
          <t>MPPHM 17(4)(d); PKM per. 38(1)</t>
        </is>
      </c>
      <c r="D185" s="7" t="inlineStr"/>
      <c r="E185" s="7" t="inlineStr"/>
      <c r="F185" t="inlineStr">
        <is>
          <t>J</t>
        </is>
      </c>
    </row>
    <row r="186">
      <c r="A186" s="7" t="inlineStr">
        <is>
          <t>J4</t>
        </is>
      </c>
      <c r="B186" s="7" t="inlineStr">
        <is>
          <t>Produk dalam bekas disimpan di atas palet atau rak, sekurang-kurangnya 15 cm dari dinding dan 20 cm dari lantai, berlabel, mengikut FIFO dan tidak melebihi kapasiti.</t>
        </is>
      </c>
      <c r="C186" s="7" t="inlineStr">
        <is>
          <t>PKM per. 38(1), 38(2); MPPHM 17(4)(g), 17(8)(f)</t>
        </is>
      </c>
      <c r="D186" s="7" t="inlineStr"/>
      <c r="E186" s="7" t="inlineStr"/>
      <c r="F186" t="inlineStr">
        <is>
          <t>J</t>
        </is>
      </c>
    </row>
    <row r="187">
      <c r="A187" s="7" t="inlineStr">
        <is>
          <t>J5</t>
        </is>
      </c>
      <c r="B187" s="7" t="inlineStr">
        <is>
          <t>Suhu bilik sejuk (-1°C hingga 10°C) dan bilik beku (-18°C atau lebih rendah) dipantau dan direkodkan; alat pengukur suhu tepat dalam ±1°C, dan pintu bilik sejuk dipasang tirai udara.</t>
        </is>
      </c>
      <c r="C187" s="7" t="inlineStr">
        <is>
          <t>PKM per. 25(4), 25(5), 38(3), 39(1)(c)</t>
        </is>
      </c>
      <c r="D187" s="7" t="inlineStr"/>
      <c r="E187" s="7" t="inlineStr"/>
      <c r="F187" t="inlineStr">
        <is>
          <t>J</t>
        </is>
      </c>
    </row>
    <row r="188">
      <c r="A188" s="7" t="inlineStr">
        <is>
          <t>J6</t>
        </is>
      </c>
      <c r="B188" s="7" t="inlineStr">
        <is>
          <t>Bilik sejuk dan stor bersih, teratur, mudah dibersihkan dan bebas perosak, dengan prosedur penyimpanan, rekod stok dan penandaan yang jelas.</t>
        </is>
      </c>
      <c r="C188" s="7" t="inlineStr">
        <is>
          <t>MPPHM 17(4)(e), 17(4)(f)</t>
        </is>
      </c>
      <c r="D188" s="7" t="inlineStr"/>
      <c r="E188" s="7" t="inlineStr"/>
      <c r="F188" t="inlineStr">
        <is>
          <t>J</t>
        </is>
      </c>
    </row>
    <row r="189">
      <c r="A189" s="7" t="inlineStr">
        <is>
          <t>J7</t>
        </is>
      </c>
      <c r="B189" s="7" t="inlineStr">
        <is>
          <t>Bahan pembungkusan disimpan di stor yang bersih dan berasingan daripada bahan kimia, dan barang yang tidak berkaitan tidak disimpan bersama produk.</t>
        </is>
      </c>
      <c r="C189" s="7" t="inlineStr">
        <is>
          <t>MPPHM 17(4)(b), 17(4)(c)</t>
        </is>
      </c>
      <c r="D189" s="7" t="inlineStr"/>
      <c r="E189" s="7" t="inlineStr"/>
      <c r="F189" t="inlineStr">
        <is>
          <t>J</t>
        </is>
      </c>
    </row>
    <row r="190">
      <c r="A190" s="7" t="inlineStr">
        <is>
          <t>J8</t>
        </is>
      </c>
      <c r="B190" s="7" t="inlineStr">
        <is>
          <t>Stor sejuk pihak ketiga (jika digunakan) mempunyai kontrak bertulis, dan keutamaan diberi kepada penyedia yang memegang SPHM.</t>
        </is>
      </c>
      <c r="C190" s="7" t="inlineStr">
        <is>
          <t>MPPHM 17(4)(h)</t>
        </is>
      </c>
      <c r="D190" s="7" t="inlineStr"/>
      <c r="E190" s="7" t="inlineStr"/>
      <c r="F190" t="inlineStr">
        <is>
          <t>J</t>
        </is>
      </c>
    </row>
    <row r="191">
      <c r="A191" s="7" t="inlineStr">
        <is>
          <t>J9</t>
        </is>
      </c>
      <c r="B191" s="7" t="inlineStr">
        <is>
          <t>Bahan pembungkusan (plastik, dulang, kotak, beg) halal, selamat dan tidak mencemarkan daging.</t>
        </is>
      </c>
      <c r="C191" s="7" t="inlineStr">
        <is>
          <t>MPPHM 17(6)(a); PM 1985 per. 27; MS 1500:2019 kl. 4.7*</t>
        </is>
      </c>
      <c r="D191" s="7" t="inlineStr"/>
      <c r="E191" s="7" t="inlineStr"/>
      <c r="F191" t="inlineStr">
        <is>
          <t>J</t>
        </is>
      </c>
    </row>
    <row r="192">
      <c r="A192" s="7" t="inlineStr">
        <is>
          <t>J10</t>
        </is>
      </c>
      <c r="B192" s="7" t="inlineStr">
        <is>
          <t>Bekas yang pernah digunakan untuk barang bukan makanan atau produk asal babi tidak digunakan semula untuk daging.</t>
        </is>
      </c>
      <c r="C192" s="7" t="inlineStr">
        <is>
          <t>PM 1985 per. 31, 32</t>
        </is>
      </c>
      <c r="D192" s="7" t="inlineStr"/>
      <c r="E192" s="7" t="inlineStr"/>
      <c r="F192" t="inlineStr">
        <is>
          <t>J</t>
        </is>
      </c>
    </row>
    <row r="193">
      <c r="A193" s="7" t="inlineStr">
        <is>
          <t>J11</t>
        </is>
      </c>
      <c r="B193" s="7" t="inlineStr">
        <is>
          <t>Bungkusan dan label tidak memaparkan nama Allah, istilah keagamaan, gambar haiwan najis mughallazah atau unsur negatif.</t>
        </is>
      </c>
      <c r="C193" s="7" t="inlineStr">
        <is>
          <t>MPPHM 17(6)(b), 17(6)(c), 17(6)(d)</t>
        </is>
      </c>
      <c r="D193" s="7" t="inlineStr"/>
      <c r="E193" s="7" t="inlineStr"/>
      <c r="F193" t="inlineStr">
        <is>
          <t>J</t>
        </is>
      </c>
    </row>
    <row r="194">
      <c r="A194" s="7" t="inlineStr">
        <is>
          <t>J12</t>
        </is>
      </c>
      <c r="B194" s="7" t="inlineStr">
        <is>
          <t>Label sepadan dengan perisytiharan dalam MYeHALAL dan dicetak dengan jelas dan kekal dalam Bahasa Melayu (terjemahan dibenarkan).</t>
        </is>
      </c>
      <c r="C194" s="7" t="inlineStr">
        <is>
          <t>MPPHM 17(2)(c), 17(6)(e), 17(6)(f), 17(6)(i); PM 1985 per. 10</t>
        </is>
      </c>
      <c r="D194" s="7" t="inlineStr"/>
      <c r="E194" s="7" t="inlineStr"/>
      <c r="F194" t="inlineStr">
        <is>
          <t>J</t>
        </is>
      </c>
    </row>
    <row r="195">
      <c r="A195" s="7" t="inlineStr">
        <is>
          <t>J13</t>
        </is>
      </c>
      <c r="B195" s="7" t="inlineStr">
        <is>
          <t>Label menunjukkan nama produk, nama dan alamat pemegang SPHM, serta Logo Halal Malaysia bersama nombor MS dan 10 digit terakhir nombor rujukan fail.</t>
        </is>
      </c>
      <c r="C195" s="7" t="inlineStr">
        <is>
          <t>MPPHM 17(6)(j)</t>
        </is>
      </c>
      <c r="D195" s="7" t="inlineStr"/>
      <c r="E195" s="7" t="inlineStr"/>
      <c r="F195" t="inlineStr">
        <is>
          <t>J</t>
        </is>
      </c>
    </row>
    <row r="196">
      <c r="A196" s="7" t="inlineStr">
        <is>
          <t>J14</t>
        </is>
      </c>
      <c r="B196" s="7" t="inlineStr">
        <is>
          <t>Daging prabungkus mempunyai butiran label wajib, termasuk nama makanan, kandungan bersih serta nama dan alamat pengilang atau pembungkus.</t>
        </is>
      </c>
      <c r="C196" s="7" t="inlineStr">
        <is>
          <t>PM 1985 per. 11</t>
        </is>
      </c>
      <c r="D196" s="7" t="inlineStr"/>
      <c r="E196" s="7" t="inlineStr"/>
      <c r="F196" t="inlineStr">
        <is>
          <t>J</t>
        </is>
      </c>
    </row>
    <row r="197">
      <c r="A197" s="7" t="inlineStr">
        <is>
          <t>J15</t>
        </is>
      </c>
      <c r="B197" s="7" t="inlineStr">
        <is>
          <t>Logo Halal Malaysia pada label, tag karkas atau kotak hanya digunakan bagi produk yang diluluskan dan karkas yang disahkan sempurna sembelihan, tanpa diubah bentuk, warna atau perkadarannya.</t>
        </is>
      </c>
      <c r="C197" s="7" t="inlineStr">
        <is>
          <t>MPPHM 41, 18(7)(g)(iv)(d); MS 1500:2019 kl. 7*; Perintah Perakuan &amp; Penandaan Halal 2011 perenggan 4(1), 6</t>
        </is>
      </c>
      <c r="D197" s="7" t="inlineStr"/>
      <c r="E197" s="7" t="inlineStr"/>
      <c r="F197" t="inlineStr">
        <is>
          <t>J</t>
        </is>
      </c>
    </row>
    <row r="198">
      <c r="A198" s="7" t="inlineStr">
        <is>
          <t>J16</t>
        </is>
      </c>
      <c r="B198" s="7" t="inlineStr">
        <is>
          <t>Ungkapan 'halal' atau Logo Halal Malaysia pada karkas, kotak atau dokumen jualan hanya digunakan apabila SPHM daripada JAKIM/JAIN/MAIN masih sah bagi produk itu, dan tiada karkas atau produk yang tidak disijilkan (termasuk karkas tidak halal atau ditolak dan hasil sampingan) diperihalkan atau ditanda sebagai halal.</t>
        </is>
      </c>
      <c r="C198" s="7" t="inlineStr">
        <is>
          <t>Akta Perihal Dagangan 2011 s. 28, 29; Perintah Takrif Halal 2011 perenggan 3; Perintah Perakuan &amp; Penandaan Halal 2011 perenggan 4(1)</t>
        </is>
      </c>
      <c r="D198" s="7" t="inlineStr"/>
      <c r="E198" s="7" t="inlineStr"/>
      <c r="F198" t="inlineStr">
        <is>
          <t>J</t>
        </is>
      </c>
    </row>
    <row r="199">
      <c r="A199" s="7" t="inlineStr">
        <is>
          <t>J17</t>
        </is>
      </c>
      <c r="B199" s="7" t="inlineStr">
        <is>
          <t>Label dan perihal produk tidak palsu atau mengelirukan (cth. tentang spesies haiwan atau status halal).</t>
        </is>
      </c>
      <c r="C199" s="7" t="inlineStr">
        <is>
          <t>Akta Makanan 1983 s. 16; MPPHM 17(6)(g)</t>
        </is>
      </c>
      <c r="D199" s="7" t="inlineStr"/>
      <c r="E199" s="7" t="inlineStr"/>
      <c r="F199" t="inlineStr">
        <is>
          <t>J</t>
        </is>
      </c>
    </row>
    <row r="200">
      <c r="A200" s="7" t="inlineStr">
        <is>
          <t>J18</t>
        </is>
      </c>
      <c r="B200" s="7" t="inlineStr">
        <is>
          <t>Berat bersih sebenar sama dengan yang dinyatakan pada label.</t>
        </is>
      </c>
      <c r="C200" s="7" t="inlineStr">
        <is>
          <t>MPPHM 17(2)(f)</t>
        </is>
      </c>
      <c r="D200" s="7" t="inlineStr"/>
      <c r="E200" s="7" t="inlineStr"/>
      <c r="F200" t="inlineStr">
        <is>
          <t>J</t>
        </is>
      </c>
    </row>
    <row r="201">
      <c r="A201" s="7" t="inlineStr">
        <is>
          <t>J19</t>
        </is>
      </c>
      <c r="B201" s="7" t="inlineStr">
        <is>
          <t>Karkas dan kotak ditanda dengan maklumat kebolehkesanan (cth. tarikh sembelihan, nombor lot atau kumpulan) yang dapat dikaitkan dengan rekod penerimaan haiwan.</t>
        </is>
      </c>
      <c r="C201" s="7" t="inlineStr">
        <is>
          <t>MHMS 5(9); PKM per. 10(1)</t>
        </is>
      </c>
      <c r="D201" s="7" t="inlineStr"/>
      <c r="E201" s="7" t="inlineStr"/>
      <c r="F201" t="inlineStr">
        <is>
          <t>J</t>
        </is>
      </c>
    </row>
    <row r="202">
      <c r="A202" s="7" t="inlineStr">
        <is>
          <t>J20</t>
        </is>
      </c>
      <c r="B202" s="7" t="inlineStr">
        <is>
          <t>Tanda VHM hanya digunakan jika premis disijilkan VHM dan mengikut syarat JPV.</t>
        </is>
      </c>
      <c r="C202" s="7" t="inlineStr">
        <is>
          <t>Skim VHM JPV</t>
        </is>
      </c>
      <c r="D202" s="7" t="inlineStr"/>
      <c r="E202" s="7" t="inlineStr"/>
      <c r="F202" t="inlineStr">
        <is>
          <t>J</t>
        </is>
      </c>
    </row>
    <row r="203">
      <c r="A203" s="7" t="inlineStr">
        <is>
          <t>J21</t>
        </is>
      </c>
      <c r="B203" s="7" t="inlineStr">
        <is>
          <t>SPHM yang sah dipamerkan di premis dan digunakan bagi premis dan produk dalam skop yang diluluskan sahaja.</t>
        </is>
      </c>
      <c r="C203" s="7" t="inlineStr">
        <is>
          <t>MPPHM 36; MS 1500:2019 kl. 6*</t>
        </is>
      </c>
      <c r="D203" s="7" t="inlineStr"/>
      <c r="E203" s="7" t="inlineStr"/>
      <c r="F203" t="inlineStr">
        <is>
          <t>J</t>
        </is>
      </c>
    </row>
    <row r="204">
      <c r="A204" s="7" t="inlineStr">
        <is>
          <t>J22</t>
        </is>
      </c>
      <c r="B204" s="7" t="inlineStr">
        <is>
          <t>Kaunter jualan runcit di premis (jika ada): daging dipamerkan dalam unit penyejuk atau kemudahan bertebat pada 10°C atau kurang.</t>
        </is>
      </c>
      <c r="C204" s="7" t="inlineStr">
        <is>
          <t>PKM per. 41(1)(b)</t>
        </is>
      </c>
      <c r="D204" s="7" t="inlineStr"/>
      <c r="E204" s="7" t="inlineStr"/>
      <c r="F204" t="inlineStr">
        <is>
          <t>J</t>
        </is>
      </c>
    </row>
    <row r="205">
      <c r="A205" s="4" t="inlineStr">
        <is>
          <t>Bahagian K: Pengangkutan &amp; Rantaian Sejuk</t>
        </is>
      </c>
      <c r="B205" s="5" t="n"/>
      <c r="C205" s="5" t="n"/>
      <c r="D205" s="5" t="n"/>
      <c r="E205" s="6" t="n"/>
    </row>
    <row r="206" ht="26" customHeight="1">
      <c r="A206" s="2" t="inlineStr">
        <is>
          <t>Periksa kenderaan dan raga pengangkut haiwan hidup, kenderaan penghantaran karkas dan daging, rekod suhu serta kontrak pengangkutan pihak ketiga.</t>
        </is>
      </c>
    </row>
    <row r="207">
      <c r="A207" s="7" t="inlineStr">
        <is>
          <t>K1</t>
        </is>
      </c>
      <c r="B207" s="7" t="inlineStr">
        <is>
          <t>Kenderaan dan raga atau sangkar pengangkut haiwan hidup digunakan untuk haiwan halal sahaja, bersih, dan tidak digunakan untuk membawa babi.</t>
        </is>
      </c>
      <c r="C207" s="7" t="inlineStr">
        <is>
          <t>MPPHM 17(7)(a), 17(7)(c)</t>
        </is>
      </c>
      <c r="D207" s="7" t="inlineStr"/>
      <c r="E207" s="7" t="inlineStr"/>
      <c r="F207" t="inlineStr">
        <is>
          <t>K</t>
        </is>
      </c>
    </row>
    <row r="208">
      <c r="A208" s="7" t="inlineStr">
        <is>
          <t>K2</t>
        </is>
      </c>
      <c r="B208" s="7" t="inlineStr">
        <is>
          <t>Haiwan hidup diangkut tanpa terlalu padat, dengan pengudaraan dan perlindungan yang mencukupi untuk memelihara kebajikannya.</t>
        </is>
      </c>
      <c r="C208" s="7" t="inlineStr">
        <is>
          <t>MPPHM 18(7)(g)(vi)(a); Akta Kebajikan Haiwan 2015 s. 24, 27, 29</t>
        </is>
      </c>
      <c r="D208" s="7" t="inlineStr"/>
      <c r="E208" s="7" t="inlineStr"/>
      <c r="F208" t="inlineStr">
        <is>
          <t>K</t>
        </is>
      </c>
    </row>
    <row r="209">
      <c r="A209" s="7" t="inlineStr">
        <is>
          <t>K3</t>
        </is>
      </c>
      <c r="B209" s="7" t="inlineStr">
        <is>
          <t>Kenderaan penghantaran karkas dan daging digunakan untuk produk halal sahaja dan tidak digunakan untuk membawa makanan asal babi.</t>
        </is>
      </c>
      <c r="C209" s="7" t="inlineStr">
        <is>
          <t>MPPHM 17(7)(a); PKM per. 56(3); MS 1500:2019 kl. 4.6*</t>
        </is>
      </c>
      <c r="D209" s="7" t="inlineStr"/>
      <c r="E209" s="7" t="inlineStr"/>
      <c r="F209" t="inlineStr">
        <is>
          <t>K</t>
        </is>
      </c>
    </row>
    <row r="210">
      <c r="A210" s="7" t="inlineStr">
        <is>
          <t>K4</t>
        </is>
      </c>
      <c r="B210" s="7" t="inlineStr">
        <is>
          <t>Karkas atau bahagian karkas segar diangkut tergantung atau di atas rak supaya terlindung daripada pencemaran.</t>
        </is>
      </c>
      <c r="C210" s="7" t="inlineStr">
        <is>
          <t>PKM per. 40(1)</t>
        </is>
      </c>
      <c r="D210" s="7" t="inlineStr"/>
      <c r="E210" s="7" t="inlineStr"/>
      <c r="F210" t="inlineStr">
        <is>
          <t>K</t>
        </is>
      </c>
    </row>
    <row r="211">
      <c r="A211" s="7" t="inlineStr">
        <is>
          <t>K5</t>
        </is>
      </c>
      <c r="B211" s="7" t="inlineStr">
        <is>
          <t>Kenderaan bersih dan berfungsi dengan baik, memisahkan makanan daripada barang bukan makanan, dan tidak membawa bahan berbahaya atau toksik.</t>
        </is>
      </c>
      <c r="C211" s="7" t="inlineStr">
        <is>
          <t>PKM per. 56(1); MPPHM 17(7)(b), 17(7)(c)</t>
        </is>
      </c>
      <c r="D211" s="7" t="inlineStr"/>
      <c r="E211" s="7" t="inlineStr"/>
      <c r="F211" t="inlineStr">
        <is>
          <t>K</t>
        </is>
      </c>
    </row>
    <row r="212">
      <c r="A212" s="7" t="inlineStr">
        <is>
          <t>K6</t>
        </is>
      </c>
      <c r="B212" s="7" t="inlineStr">
        <is>
          <t>Kenderaan dibersihkan dan dinyahkuman selepas membawa makanan yang berlainan jenis atau barang bukan makanan.</t>
        </is>
      </c>
      <c r="C212" s="7" t="inlineStr">
        <is>
          <t>PKM per. 56(2)</t>
        </is>
      </c>
      <c r="D212" s="7" t="inlineStr"/>
      <c r="E212" s="7" t="inlineStr"/>
      <c r="F212" t="inlineStr">
        <is>
          <t>K</t>
        </is>
      </c>
    </row>
    <row r="213">
      <c r="A213" s="7" t="inlineStr">
        <is>
          <t>K7</t>
        </is>
      </c>
      <c r="B213" s="7" t="inlineStr">
        <is>
          <t>Ruang muatan kalis air dan dilengkapi unit penyejuk mekanikal; daging sejuk diangkut pada -1°C hingga 10°C dan daging beku pada -18°C, dengan rekod suhu.</t>
        </is>
      </c>
      <c r="C213" s="7" t="inlineStr">
        <is>
          <t>PKM per. 56(4)</t>
        </is>
      </c>
      <c r="D213" s="7" t="inlineStr"/>
      <c r="E213" s="7" t="inlineStr"/>
      <c r="F213" t="inlineStr">
        <is>
          <t>K</t>
        </is>
      </c>
    </row>
    <row r="214">
      <c r="A214" s="7" t="inlineStr">
        <is>
          <t>K8</t>
        </is>
      </c>
      <c r="B214" s="7" t="inlineStr">
        <is>
          <t>Rantaian sejuk tidak terputus dari bilik sejuk ke kenderaan dan sepanjang penghantaran, kecuali tempoh singkat di luar kawalan suhu yang tidak menjejaskan keselamatan daging.</t>
        </is>
      </c>
      <c r="C214" s="7" t="inlineStr">
        <is>
          <t>PKM per. 56(5), 38(4)</t>
        </is>
      </c>
      <c r="D214" s="7" t="inlineStr"/>
      <c r="E214" s="7" t="inlineStr"/>
      <c r="F214" t="inlineStr">
        <is>
          <t>K</t>
        </is>
      </c>
    </row>
    <row r="215">
      <c r="A215" s="7" t="inlineStr">
        <is>
          <t>K9</t>
        </is>
      </c>
      <c r="B215" s="7" t="inlineStr">
        <is>
          <t>Pengangkutan pihak ketiga (haiwan hidup atau produk) mempunyai kontrak bertulis, dan keutamaan diberi kepada penyedia yang memegang SPHM.</t>
        </is>
      </c>
      <c r="C215" s="7" t="inlineStr">
        <is>
          <t>MPPHM 17(7)(d)</t>
        </is>
      </c>
      <c r="D215" s="7" t="inlineStr"/>
      <c r="E215" s="7" t="inlineStr"/>
      <c r="F215" t="inlineStr">
        <is>
          <t>K</t>
        </is>
      </c>
    </row>
    <row r="216">
      <c r="A216" s="7" t="inlineStr">
        <is>
          <t>K10</t>
        </is>
      </c>
      <c r="B216" s="7" t="inlineStr">
        <is>
          <t>Kenderaan yang tercemar najis mughallazah disertu, dengan rekod.</t>
        </is>
      </c>
      <c r="C216" s="7" t="inlineStr">
        <is>
          <t>MPPHM 17(7)(f); MS 1500:2019 Lampiran A*</t>
        </is>
      </c>
      <c r="D216" s="7" t="inlineStr"/>
      <c r="E216" s="7" t="inlineStr"/>
      <c r="F216" t="inlineStr">
        <is>
          <t>K</t>
        </is>
      </c>
    </row>
    <row r="217">
      <c r="A217" s="4" t="inlineStr">
        <is>
          <t>Bahagian L: Kebersihan, Sanitasi, Kawalan Perosak &amp; Sisa</t>
        </is>
      </c>
      <c r="B217" s="5" t="n"/>
      <c r="C217" s="5" t="n"/>
      <c r="D217" s="5" t="n"/>
      <c r="E217" s="6" t="n"/>
    </row>
    <row r="218" ht="26" customHeight="1">
      <c r="A218" s="2" t="inlineStr">
        <is>
          <t>Periksa kebersihan dewan sembelihan dan kawasan pemprosesan, kemudahan basuh tangan, tandas, kawalan perosak, kawasan sisa dan sistem pengolahan efluen.</t>
        </is>
      </c>
    </row>
    <row r="219">
      <c r="A219" s="7" t="inlineStr">
        <is>
          <t>L1</t>
        </is>
      </c>
      <c r="B219" s="7" t="inlineStr">
        <is>
          <t>Dewan sembelihan, talian dan kawasan pemprosesan dibersihkan mengikut jadual, sekurang-kurangnya sekali sehari, dan pembersihan direkodkan.</t>
        </is>
      </c>
      <c r="C219" s="7" t="inlineStr">
        <is>
          <t>MPPHM 17(10)(a); PKM per. 15(3)</t>
        </is>
      </c>
      <c r="D219" s="7" t="inlineStr"/>
      <c r="E219" s="7" t="inlineStr"/>
      <c r="F219" t="inlineStr">
        <is>
          <t>L</t>
        </is>
      </c>
    </row>
    <row r="220">
      <c r="A220" s="7" t="inlineStr">
        <is>
          <t>L2</t>
        </is>
      </c>
      <c r="B220" s="7" t="inlineStr">
        <is>
          <t>Lantai, dinding atau siling tidak dibersihkan dengan cara yang boleh mencemarkan daging semasa operasi.</t>
        </is>
      </c>
      <c r="C220" s="7" t="inlineStr">
        <is>
          <t>PKM per. 35(1)</t>
        </is>
      </c>
      <c r="D220" s="7" t="inlineStr"/>
      <c r="E220" s="7" t="inlineStr"/>
      <c r="F220" t="inlineStr">
        <is>
          <t>L</t>
        </is>
      </c>
    </row>
    <row r="221">
      <c r="A221" s="7" t="inlineStr">
        <is>
          <t>L3</t>
        </is>
      </c>
      <c r="B221" s="7" t="inlineStr">
        <is>
          <t>Persekitaran luar premis, termasuk kawasan kandang dan kawasan sisa, bersih dan bebas faktor pencemaran.</t>
        </is>
      </c>
      <c r="C221" s="7" t="inlineStr">
        <is>
          <t>MPPHM 17(10)(b); PKM per. 34(1)</t>
        </is>
      </c>
      <c r="D221" s="7" t="inlineStr"/>
      <c r="E221" s="7" t="inlineStr"/>
      <c r="F221" t="inlineStr">
        <is>
          <t>L</t>
        </is>
      </c>
    </row>
    <row r="222">
      <c r="A222" s="7" t="inlineStr">
        <is>
          <t>L4</t>
        </is>
      </c>
      <c r="B222" s="7" t="inlineStr">
        <is>
          <t>Kawalan perosak (tikus, lalat, lipas, burung) dibuat secara berkala oleh kontraktor atau secara dalaman, dengan rekod (pelan umpan, laporan rawatan), dan tiada tanda kehadiran perosak.</t>
        </is>
      </c>
      <c r="C222" s="7" t="inlineStr">
        <is>
          <t>MPPHM 17(10)(c); PKM per. 16(1), 16(2)</t>
        </is>
      </c>
      <c r="D222" s="7" t="inlineStr"/>
      <c r="E222" s="7" t="inlineStr"/>
      <c r="F222" t="inlineStr">
        <is>
          <t>L</t>
        </is>
      </c>
    </row>
    <row r="223">
      <c r="A223" s="7" t="inlineStr">
        <is>
          <t>L5</t>
        </is>
      </c>
      <c r="B223" s="7" t="inlineStr">
        <is>
          <t>Rawatan kawalan perosak tidak mencemarkan daging.</t>
        </is>
      </c>
      <c r="C223" s="7" t="inlineStr">
        <is>
          <t>PKM per. 16(3)</t>
        </is>
      </c>
      <c r="D223" s="7" t="inlineStr"/>
      <c r="E223" s="7" t="inlineStr"/>
      <c r="F223" t="inlineStr">
        <is>
          <t>L</t>
        </is>
      </c>
    </row>
    <row r="224">
      <c r="A224" s="7" t="inlineStr">
        <is>
          <t>L6</t>
        </is>
      </c>
      <c r="B224" s="7" t="inlineStr">
        <is>
          <t>Sinki basuh tangan mencukupi di pintu masuk dan di titik kerja (termasuk titik sembelihan), dengan air mengalir, sabun cecair, tisu atau pengering dan pili bukan kendalian tangan, serta notis basuh tangan dipamerkan.</t>
        </is>
      </c>
      <c r="C224" s="7" t="inlineStr">
        <is>
          <t>MPPHM 17(10)(d); PKM per. 8(1), 27(1), 27(2)</t>
        </is>
      </c>
      <c r="D224" s="7" t="inlineStr"/>
      <c r="E224" s="7" t="inlineStr"/>
      <c r="F224" t="inlineStr">
        <is>
          <t>L</t>
        </is>
      </c>
    </row>
    <row r="225">
      <c r="A225" s="7" t="inlineStr">
        <is>
          <t>L7</t>
        </is>
      </c>
      <c r="B225" s="7" t="inlineStr">
        <is>
          <t>Sinki basuh tangan berasingan daripada sinki untuk membasuh daging atau peralatan.</t>
        </is>
      </c>
      <c r="C225" s="7" t="inlineStr">
        <is>
          <t>PKM per. 27(3)</t>
        </is>
      </c>
      <c r="D225" s="7" t="inlineStr"/>
      <c r="E225" s="7" t="inlineStr"/>
      <c r="F225" t="inlineStr">
        <is>
          <t>L</t>
        </is>
      </c>
    </row>
    <row r="226">
      <c r="A226" s="7" t="inlineStr">
        <is>
          <t>L8</t>
        </is>
      </c>
      <c r="B226" s="7" t="inlineStr">
        <is>
          <t>Tong sampah mencukupi, bertutup dan dalam keadaan baik (jenis injak kaki digalakkan).</t>
        </is>
      </c>
      <c r="C226" s="7" t="inlineStr">
        <is>
          <t>MPPHM 17(10)(e); PKM per. 17(1)</t>
        </is>
      </c>
      <c r="D226" s="7" t="inlineStr"/>
      <c r="E226" s="7" t="inlineStr"/>
      <c r="F226" t="inlineStr">
        <is>
          <t>L</t>
        </is>
      </c>
    </row>
    <row r="227">
      <c r="A227" s="7" t="inlineStr">
        <is>
          <t>L9</t>
        </is>
      </c>
      <c r="B227" s="7" t="inlineStr">
        <is>
          <t>Sisa sembelihan (darah, bulu, isi perut, bahagian dan karkas yang ditolak) dikumpulkan dalam bekas bertutup, dialihkan segera dari kawasan pemprosesan dan dilupuskan mengikut prosedur dan undang-undang.</t>
        </is>
      </c>
      <c r="C227" s="7" t="inlineStr">
        <is>
          <t>MPPHM 17(10)(g); PKM per. 17(1), 17(3)</t>
        </is>
      </c>
      <c r="D227" s="7" t="inlineStr"/>
      <c r="E227" s="7" t="inlineStr"/>
      <c r="F227" t="inlineStr">
        <is>
          <t>L</t>
        </is>
      </c>
    </row>
    <row r="228">
      <c r="A228" s="7" t="inlineStr">
        <is>
          <t>L10</t>
        </is>
      </c>
      <c r="B228" s="7" t="inlineStr">
        <is>
          <t>Sabah: trimming, isi perut yang dibuang, ternakan mati dan karkas yang ditolak dikumpulkan dalam bekas bertutup yang diluluskan Pengarah dan dilupuskan setiap hari.</t>
        </is>
      </c>
      <c r="C228" s="7" t="inlineStr">
        <is>
          <t>Kaedah Rumah Sembelihan Sabah k. 10</t>
        </is>
      </c>
      <c r="D228" s="7" t="inlineStr"/>
      <c r="E228" s="7" t="inlineStr"/>
      <c r="F228" t="inlineStr">
        <is>
          <t>L</t>
        </is>
      </c>
    </row>
    <row r="229">
      <c r="A229" s="7" t="inlineStr">
        <is>
          <t>L11</t>
        </is>
      </c>
      <c r="B229" s="7" t="inlineStr">
        <is>
          <t>Tempat pengurusan sisa pepejal dan sistem pengolahan efluen (SPE) berfungsi, bersih dan tidak mencemarkan kawasan pemprosesan.</t>
        </is>
      </c>
      <c r="C229" s="7" t="inlineStr">
        <is>
          <t>MPPHM 18(7)(g)(i)(c)</t>
        </is>
      </c>
      <c r="D229" s="7" t="inlineStr"/>
      <c r="E229" s="7" t="inlineStr"/>
      <c r="F229" t="inlineStr">
        <is>
          <t>L</t>
        </is>
      </c>
    </row>
    <row r="230">
      <c r="A230" s="7" t="inlineStr">
        <is>
          <t>L12</t>
        </is>
      </c>
      <c r="B230" s="7" t="inlineStr">
        <is>
          <t>Tandas mencukupi, bersih, tidak berbau, lengkap (air, tisu, sabun, pengering) dan tidak membuka terus ke kawasan pemprosesan, dengan prosedur pembersihan.</t>
        </is>
      </c>
      <c r="C230" s="7" t="inlineStr">
        <is>
          <t>MPPHM 17(10)(f); PKM per. 28</t>
        </is>
      </c>
      <c r="D230" s="7" t="inlineStr"/>
      <c r="E230" s="7" t="inlineStr"/>
      <c r="F230" t="inlineStr">
        <is>
          <t>L</t>
        </is>
      </c>
    </row>
    <row r="231">
      <c r="A231" s="4" t="inlineStr">
        <is>
          <t>Bahagian M: Pekerja, Latihan &amp; Kemudahan</t>
        </is>
      </c>
      <c r="B231" s="5" t="n"/>
      <c r="C231" s="5" t="n"/>
      <c r="D231" s="5" t="n"/>
      <c r="E231" s="6" t="n"/>
    </row>
    <row r="232" ht="26" customHeight="1">
      <c r="A232" s="2" t="inlineStr">
        <is>
          <t>Semak senarai pekerja, rekod latihan dan kesihatan, perhatikan amalan pekerja di talian, dan periksa bilik persalinan, loker, ruang rehat serta kemudahan solat.</t>
        </is>
      </c>
    </row>
    <row r="233">
      <c r="A233" s="7" t="inlineStr">
        <is>
          <t>M1</t>
        </is>
      </c>
      <c r="B233" s="7" t="inlineStr">
        <is>
          <t>Semua pengendali makanan (termasuk penyembelih, pemeriksa halal dan pekerja talian pemprosesan) memiliki Sijil Latihan Pengendali Makanan daripada institusi yang diiktiraf KKM, dan salinannya disimpan untuk pemeriksaan.</t>
        </is>
      </c>
      <c r="C233" s="7" t="inlineStr">
        <is>
          <t>MPPHM 18(7)(c); PKM per. 11(1), 30(1)</t>
        </is>
      </c>
      <c r="D233" s="7" t="inlineStr"/>
      <c r="E233" s="7" t="inlineStr"/>
      <c r="F233" t="inlineStr">
        <is>
          <t>M</t>
        </is>
      </c>
    </row>
    <row r="234">
      <c r="A234" s="7" t="inlineStr">
        <is>
          <t>M2</t>
        </is>
      </c>
      <c r="B234" s="7" t="inlineStr">
        <is>
          <t>Semua pengendali makanan (termasuk penyembelih, pemeriksa halal dan pekerja talian pemprosesan) telah menjalani pemeriksaan perubatan dan menerima suntikan anti-tifoid yang masih sah daripada pengamal perubatan berdaftar, dan rekodnya disimpan untuk pemeriksaan.</t>
        </is>
      </c>
      <c r="C234" s="7" t="inlineStr">
        <is>
          <t>MPPHM 18(7)(d); PKM per. 11(1), 31(1)</t>
        </is>
      </c>
      <c r="D234" s="7" t="inlineStr"/>
      <c r="E234" s="7" t="inlineStr"/>
      <c r="F234" t="inlineStr">
        <is>
          <t>M</t>
        </is>
      </c>
    </row>
    <row r="235">
      <c r="A235" s="7" t="inlineStr">
        <is>
          <t>M3</t>
        </is>
      </c>
      <c r="B235" s="7" t="inlineStr">
        <is>
          <t>Pekerja yang sakit atau disyaki membawa penyakit bawaan makanan melaporkan keadaannya dan tidak mengendalikan daging sehingga disahkan sihat.</t>
        </is>
      </c>
      <c r="C235" s="7" t="inlineStr">
        <is>
          <t>PKM per. 31(2)</t>
        </is>
      </c>
      <c r="D235" s="7" t="inlineStr"/>
      <c r="E235" s="7" t="inlineStr"/>
      <c r="F235" t="inlineStr">
        <is>
          <t>M</t>
        </is>
      </c>
    </row>
    <row r="236">
      <c r="A236" s="7" t="inlineStr">
        <is>
          <t>M4</t>
        </is>
      </c>
      <c r="B236" s="7" t="inlineStr">
        <is>
          <t>Pakaian kerja bersih dan sesuai (apron atau overall berwarna cerah, penutup kepala, but), hanya dipakai di premis dan disimpan dalam loker apabila tidak digunakan.</t>
        </is>
      </c>
      <c r="C236" s="7" t="inlineStr">
        <is>
          <t>PKM per. 32(1), 32(2); MPPHM 17(9)(c)</t>
        </is>
      </c>
      <c r="D236" s="7" t="inlineStr"/>
      <c r="E236" s="7" t="inlineStr"/>
      <c r="F236" t="inlineStr">
        <is>
          <t>M</t>
        </is>
      </c>
    </row>
    <row r="237">
      <c r="A237" s="7" t="inlineStr">
        <is>
          <t>M5</t>
        </is>
      </c>
      <c r="B237" s="7" t="inlineStr">
        <is>
          <t>PPE khusus tugas disediakan dan dipakai (cth. sarung tangan tahan potong bagi penyembelih dan pekerja pemotongan, apron kalis air di talian basah, penutup muka atau kaca mata keselamatan di kawasan percikan).</t>
        </is>
      </c>
      <c r="C237" s="7" t="inlineStr">
        <is>
          <t>MPPHM 17(9)(e)</t>
        </is>
      </c>
      <c r="D237" s="7" t="inlineStr"/>
      <c r="E237" s="7" t="inlineStr"/>
      <c r="F237" t="inlineStr">
        <is>
          <t>M</t>
        </is>
      </c>
    </row>
    <row r="238">
      <c r="A238" s="7" t="inlineStr">
        <is>
          <t>M6</t>
        </is>
      </c>
      <c r="B238" s="7" t="inlineStr">
        <is>
          <t>Kuku pendek dan bersih; tangan dibasuh sebelum bekerja, selepas ke tandas dan selepas mengendalikan bahan kotor; pakaian kerja luar ditanggalkan sebelum ke tandas.</t>
        </is>
      </c>
      <c r="C238" s="7" t="inlineStr">
        <is>
          <t>PKM per. 33(1); MPPHM 17(9)(b)</t>
        </is>
      </c>
      <c r="D238" s="7" t="inlineStr"/>
      <c r="E238" s="7" t="inlineStr"/>
      <c r="F238" t="inlineStr">
        <is>
          <t>M</t>
        </is>
      </c>
    </row>
    <row r="239">
      <c r="A239" s="7" t="inlineStr">
        <is>
          <t>M7</t>
        </is>
      </c>
      <c r="B239" s="7" t="inlineStr">
        <is>
          <t>Barang kemas, jam dan pin tidak dipakai semasa bekerja.</t>
        </is>
      </c>
      <c r="C239" s="7" t="inlineStr">
        <is>
          <t>PKM per. 33(1)</t>
        </is>
      </c>
      <c r="D239" s="7" t="inlineStr"/>
      <c r="E239" s="7" t="inlineStr"/>
      <c r="F239" t="inlineStr">
        <is>
          <t>M</t>
        </is>
      </c>
    </row>
    <row r="240">
      <c r="A240" s="7" t="inlineStr">
        <is>
          <t>M8</t>
        </is>
      </c>
      <c r="B240" s="7" t="inlineStr">
        <is>
          <t>Pekerja tidak merokok, meludah atau melakukan perbuatan yang boleh mencemarkan daging.</t>
        </is>
      </c>
      <c r="C240" s="7" t="inlineStr">
        <is>
          <t>MPPHM 17(9)(f); PKM per. 33(1)</t>
        </is>
      </c>
      <c r="D240" s="7" t="inlineStr"/>
      <c r="E240" s="7" t="inlineStr"/>
      <c r="F240" t="inlineStr">
        <is>
          <t>M</t>
        </is>
      </c>
    </row>
    <row r="241">
      <c r="A241" s="7" t="inlineStr">
        <is>
          <t>M9</t>
        </is>
      </c>
      <c r="B241" s="7" t="inlineStr">
        <is>
          <t>Barang peribadi, makanan dan minuman tidak dibawa ke kawasan sembelihan dan pemprosesan.</t>
        </is>
      </c>
      <c r="C241" s="7" t="inlineStr">
        <is>
          <t>MPPHM 17(9)(d)</t>
        </is>
      </c>
      <c r="D241" s="7" t="inlineStr"/>
      <c r="E241" s="7" t="inlineStr"/>
      <c r="F241" t="inlineStr">
        <is>
          <t>M</t>
        </is>
      </c>
    </row>
    <row r="242">
      <c r="A242" s="7" t="inlineStr">
        <is>
          <t>M10</t>
        </is>
      </c>
      <c r="B242" s="7" t="inlineStr">
        <is>
          <t>Pengambilan pekerja, termasuk pekerja asing, mengikut undang-undang dengan permit kerja yang sah.</t>
        </is>
      </c>
      <c r="C242" s="7" t="inlineStr">
        <is>
          <t>MPPHM 17(9)(g)</t>
        </is>
      </c>
      <c r="D242" s="7" t="inlineStr"/>
      <c r="E242" s="7" t="inlineStr"/>
      <c r="F242" t="inlineStr">
        <is>
          <t>M</t>
        </is>
      </c>
    </row>
    <row r="243">
      <c r="A243" s="7" t="inlineStr">
        <is>
          <t>M11</t>
        </is>
      </c>
      <c r="B243" s="7" t="inlineStr">
        <is>
          <t>Kod etika pekerja dan amalan kebersihan yang baik (GHP) diterangkan kepada pekerja dan dipatuhi.</t>
        </is>
      </c>
      <c r="C243" s="7" t="inlineStr">
        <is>
          <t>MPPHM 17(9)(h)</t>
        </is>
      </c>
      <c r="D243" s="7" t="inlineStr"/>
      <c r="E243" s="7" t="inlineStr"/>
      <c r="F243" t="inlineStr">
        <is>
          <t>M</t>
        </is>
      </c>
    </row>
    <row r="244">
      <c r="A244" s="7" t="inlineStr">
        <is>
          <t>M12</t>
        </is>
      </c>
      <c r="B244" s="7" t="inlineStr">
        <is>
          <t>Pekerja baharu menghadiri latihan kesedaran halal dalam tempoh 3 bulan dari tarikh lantikan.</t>
        </is>
      </c>
      <c r="C244" s="7" t="inlineStr">
        <is>
          <t>MPPHM 17(12)(a); MHMS 5(8)</t>
        </is>
      </c>
      <c r="D244" s="7" t="inlineStr"/>
      <c r="E244" s="7" t="inlineStr"/>
      <c r="F244" t="inlineStr">
        <is>
          <t>M</t>
        </is>
      </c>
    </row>
    <row r="245">
      <c r="A245" s="7" t="inlineStr">
        <is>
          <t>M13</t>
        </is>
      </c>
      <c r="B245" s="7" t="inlineStr">
        <is>
          <t>Semua pekerja sembelihan dan pemprosesan menghadiri latihan kesedaran halal sekurang-kurangnya sekali setiap 3 tahun, oleh organisasi berdaftar dengan HPB JAKIM, meliputi konsep halal dan prosedur SPHM.</t>
        </is>
      </c>
      <c r="C245" s="7" t="inlineStr">
        <is>
          <t>MPPHM 17(12)(b), 17(12)(c)</t>
        </is>
      </c>
      <c r="D245" s="7" t="inlineStr"/>
      <c r="E245" s="7" t="inlineStr"/>
      <c r="F245" t="inlineStr">
        <is>
          <t>M</t>
        </is>
      </c>
    </row>
    <row r="246">
      <c r="A246" s="7" t="inlineStr">
        <is>
          <t>M14</t>
        </is>
      </c>
      <c r="B246" s="7" t="inlineStr">
        <is>
          <t>Besar/sederhana: ahli JKHD menghadiri latihan kompetensi halal oleh Penyedia Latihan Halal berdaftar sekurang-kurangnya sekali setiap 3 tahun.</t>
        </is>
      </c>
      <c r="C246" s="7" t="inlineStr">
        <is>
          <t>MPPHM 17(12)(e), 17(12)(f)</t>
        </is>
      </c>
      <c r="D246" s="7" t="inlineStr"/>
      <c r="E246" s="7" t="inlineStr"/>
      <c r="F246" t="inlineStr">
        <is>
          <t>M</t>
        </is>
      </c>
    </row>
    <row r="247">
      <c r="A247" s="7" t="inlineStr">
        <is>
          <t>M15</t>
        </is>
      </c>
      <c r="B247" s="7" t="inlineStr">
        <is>
          <t>HAS: pelan latihan halal disediakan, dan keberkesanan latihan kesedaran halal dinilai dengan rekod.</t>
        </is>
      </c>
      <c r="C247" s="7" t="inlineStr">
        <is>
          <t>MHMS 5(8) (Latihan Halal)</t>
        </is>
      </c>
      <c r="D247" s="7" t="inlineStr"/>
      <c r="E247" s="7" t="inlineStr"/>
      <c r="F247" t="inlineStr">
        <is>
          <t>M</t>
        </is>
      </c>
    </row>
    <row r="248">
      <c r="A248" s="7" t="inlineStr">
        <is>
          <t>M16</t>
        </is>
      </c>
      <c r="B248" s="7" t="inlineStr">
        <is>
          <t>Pengurusan memperuntukkan dana dan kemudahan untuk latihan, dan rekod latihan disimpan, dikemas kini dan mudah dicapai.</t>
        </is>
      </c>
      <c r="C248" s="7" t="inlineStr">
        <is>
          <t>MPPHM 17(12)(g), 17(12)(h)</t>
        </is>
      </c>
      <c r="D248" s="7" t="inlineStr"/>
      <c r="E248" s="7" t="inlineStr"/>
      <c r="F248" t="inlineStr">
        <is>
          <t>M</t>
        </is>
      </c>
    </row>
    <row r="249">
      <c r="A249" s="7" t="inlineStr">
        <is>
          <t>M17</t>
        </is>
      </c>
      <c r="B249" s="7" t="inlineStr">
        <is>
          <t>Ruang atau bilik solat disediakan di lokasi yang munasabah, saiznya mencukupi dan dijaga dengan baik.</t>
        </is>
      </c>
      <c r="C249" s="7" t="inlineStr">
        <is>
          <t>MPPHM 17(11)(a)</t>
        </is>
      </c>
      <c r="D249" s="7" t="inlineStr"/>
      <c r="E249" s="7" t="inlineStr"/>
      <c r="F249" t="inlineStr">
        <is>
          <t>M</t>
        </is>
      </c>
    </row>
    <row r="250">
      <c r="A250" s="7" t="inlineStr">
        <is>
          <t>M18</t>
        </is>
      </c>
      <c r="B250" s="7" t="inlineStr">
        <is>
          <t>Pekerja Muslim, termasuk penyembelih dan pemeriksa halal, diberi pelepasan dan masa yang munasabah untuk solat fardu termasuk solat Jumaat, dengan penyembelih atau pemeriksa bertauliah lain menggantikan mereka.</t>
        </is>
      </c>
      <c r="C250" s="7" t="inlineStr">
        <is>
          <t>MPPHM 17(11)(b), 18(7)(g)(iii)(e)</t>
        </is>
      </c>
      <c r="D250" s="7" t="inlineStr"/>
      <c r="E250" s="7" t="inlineStr"/>
      <c r="F250" t="inlineStr">
        <is>
          <t>M</t>
        </is>
      </c>
    </row>
    <row r="251">
      <c r="A251" s="7" t="inlineStr">
        <is>
          <t>M19</t>
        </is>
      </c>
      <c r="B251" s="7" t="inlineStr">
        <is>
          <t>Bilik ibu menyusu disediakan mengikut keperluan.</t>
        </is>
      </c>
      <c r="C251" s="7" t="inlineStr">
        <is>
          <t>MPPHM 17(11)(c)</t>
        </is>
      </c>
      <c r="D251" s="7" t="inlineStr"/>
      <c r="E251" s="7" t="inlineStr"/>
      <c r="F251" t="inlineStr">
        <is>
          <t>M</t>
        </is>
      </c>
    </row>
    <row r="252">
      <c r="A252" s="7" t="inlineStr">
        <is>
          <t>M20</t>
        </is>
      </c>
      <c r="B252" s="7" t="inlineStr">
        <is>
          <t>Ruang rehat pekerja disediakan.</t>
        </is>
      </c>
      <c r="C252" s="7" t="inlineStr">
        <is>
          <t>MPPHM 17(11)(d)</t>
        </is>
      </c>
      <c r="D252" s="7" t="inlineStr"/>
      <c r="E252" s="7" t="inlineStr"/>
      <c r="F252" t="inlineStr">
        <is>
          <t>M</t>
        </is>
      </c>
    </row>
    <row r="253">
      <c r="A253" s="7" t="inlineStr">
        <is>
          <t>M21</t>
        </is>
      </c>
      <c r="B253" s="7" t="inlineStr">
        <is>
          <t>Loker untuk barang peribadi disediakan, dan bilik persalinan disediakan jika diperlukan.</t>
        </is>
      </c>
      <c r="C253" s="7" t="inlineStr">
        <is>
          <t>MPPHM 17(11)(e); PKM per. 26</t>
        </is>
      </c>
      <c r="D253" s="7" t="inlineStr"/>
      <c r="E253" s="7" t="inlineStr"/>
      <c r="F253" t="inlineStr">
        <is>
          <t>M</t>
        </is>
      </c>
    </row>
    <row r="254">
      <c r="A254" s="4" t="inlineStr">
        <is>
          <t>Bahagian N: Dokumentasi, Rekod &amp; Kebolehkesanan</t>
        </is>
      </c>
      <c r="B254" s="5" t="n"/>
      <c r="C254" s="5" t="n"/>
      <c r="D254" s="5" t="n"/>
      <c r="E254" s="6" t="n"/>
    </row>
    <row r="255" ht="26" customHeight="1">
      <c r="A255" s="2" t="inlineStr">
        <is>
          <t>Semak fail dokumen dan rekod operasi, uji kebolehkesanan dari produk siap ke ladang asal, dan padankan rekod dengan pemerhatian di lapangan.</t>
        </is>
      </c>
    </row>
    <row r="256">
      <c r="A256" s="7" t="inlineStr">
        <is>
          <t>N1</t>
        </is>
      </c>
      <c r="B256" s="7" t="inlineStr">
        <is>
          <t>Dokumen dikemas kini dan mudah dicapai: fail permohonan MYeHALAL, fail MHMS (HAS atau IHCS), sijil dan lesen, rekod pekerja, latihan, penerimaan haiwan dan pembelian bahan, kawalan perosak, pemprosesan dan laporan audit terdahulu.</t>
        </is>
      </c>
      <c r="C256" s="7" t="inlineStr">
        <is>
          <t>MPPHM 17(14)(a), 17(14)(b); MHMS 5(13)</t>
        </is>
      </c>
      <c r="D256" s="7" t="inlineStr"/>
      <c r="E256" s="7" t="inlineStr"/>
      <c r="F256" t="inlineStr">
        <is>
          <t>N</t>
        </is>
      </c>
    </row>
    <row r="257">
      <c r="A257" s="7" t="inlineStr">
        <is>
          <t>N2</t>
        </is>
      </c>
      <c r="B257" s="7" t="inlineStr">
        <is>
          <t>Rekod disimpan sekurang-kurangnya 3 tahun, dan pemohon baharu mempunyai rekod sekurang-kurangnya 3 bulan.</t>
        </is>
      </c>
      <c r="C257" s="7" t="inlineStr">
        <is>
          <t>MPPHM 17(14)(c), 17(14)(d); MHMS 5(13)</t>
        </is>
      </c>
      <c r="D257" s="7" t="inlineStr"/>
      <c r="E257" s="7" t="inlineStr"/>
      <c r="F257" t="inlineStr">
        <is>
          <t>N</t>
        </is>
      </c>
    </row>
    <row r="258">
      <c r="A258" s="7" t="inlineStr">
        <is>
          <t>N3</t>
        </is>
      </c>
      <c r="B258" s="7" t="inlineStr">
        <is>
          <t>Daftar tauliah penyembelih dan pemeriksa halal (salinan Sijil dan Kad Tauliah, nombor dan tarikh tamat) dikemas kini, dan pembaharuan dimohon sebelum tamat tempoh.</t>
        </is>
      </c>
      <c r="C258" s="7" t="inlineStr">
        <is>
          <t>MPPHM 18(7)(g)(iii)(b), 18(7)(g)(iv)(b); MHMS Lampiran C1</t>
        </is>
      </c>
      <c r="D258" s="7" t="inlineStr"/>
      <c r="E258" s="7" t="inlineStr"/>
      <c r="F258" t="inlineStr">
        <is>
          <t>N</t>
        </is>
      </c>
    </row>
    <row r="259">
      <c r="A259" s="7" t="inlineStr">
        <is>
          <t>N4</t>
        </is>
      </c>
      <c r="B259" s="7" t="inlineStr">
        <is>
          <t>Rekod sembelihan harian lengkap: bilangan haiwan yang diterima, disembelih, mati sebelum sembelihan, tidak sempurna sembelihan dan ditolak, serta nama penyembelih dan pemeriksa halal yang bertugas.</t>
        </is>
      </c>
      <c r="C259" s="7" t="inlineStr">
        <is>
          <t>MHMS Lampiran C1, Lampiran E; MPPHM 17(14)(b)</t>
        </is>
      </c>
      <c r="D259" s="7" t="inlineStr"/>
      <c r="E259" s="7" t="inlineStr"/>
      <c r="F259" t="inlineStr">
        <is>
          <t>N</t>
        </is>
      </c>
    </row>
    <row r="260">
      <c r="A260" s="7" t="inlineStr">
        <is>
          <t>N5</t>
        </is>
      </c>
      <c r="B260" s="7" t="inlineStr">
        <is>
          <t>Rekod pemeriksaan ante-mortem dan post-mortem oleh JPV tersedia bagi setiap kumpulan haiwan.</t>
        </is>
      </c>
      <c r="C260" s="7" t="inlineStr">
        <is>
          <t>Skim VHM JPV; MHMS Lampiran C1</t>
        </is>
      </c>
      <c r="D260" s="7" t="inlineStr"/>
      <c r="E260" s="7" t="inlineStr"/>
      <c r="F260" t="inlineStr">
        <is>
          <t>N</t>
        </is>
      </c>
    </row>
    <row r="261">
      <c r="A261" s="7" t="inlineStr">
        <is>
          <t>N6</t>
        </is>
      </c>
      <c r="B261" s="7" t="inlineStr">
        <is>
          <t>Rekod pembersihan, pemprosesan, penyimpanan (termasuk suhu) dan pengedaran disimpan untuk pemeriksaan.</t>
        </is>
      </c>
      <c r="C261" s="7" t="inlineStr">
        <is>
          <t>PKM per. 11(1)</t>
        </is>
      </c>
      <c r="D261" s="7" t="inlineStr"/>
      <c r="E261" s="7" t="inlineStr"/>
      <c r="F261" t="inlineStr">
        <is>
          <t>N</t>
        </is>
      </c>
    </row>
    <row r="262">
      <c r="A262" s="7" t="inlineStr">
        <is>
          <t>N7</t>
        </is>
      </c>
      <c r="B262" s="7" t="inlineStr">
        <is>
          <t>Rekod penerimaan haiwan dan pembelian bahan sepadan dengan senarai pembekal dan senarai induk bahan, dan sijil halal bahan masih sah pada tarikh pembelian.</t>
        </is>
      </c>
      <c r="C262" s="7" t="inlineStr">
        <is>
          <t>MPPHM 17(14)(b); MHMS 5(7)</t>
        </is>
      </c>
      <c r="D262" s="7" t="inlineStr"/>
      <c r="E262" s="7" t="inlineStr"/>
      <c r="F262" t="inlineStr">
        <is>
          <t>N</t>
        </is>
      </c>
    </row>
    <row r="263">
      <c r="A263" s="7" t="inlineStr">
        <is>
          <t>N8</t>
        </is>
      </c>
      <c r="B263" s="7" t="inlineStr">
        <is>
          <t>Sistem kebolehkesanan membolehkan produk dikesan satu langkah ke belakang (kumpulan haiwan dan ladang asal) dan satu langkah ke hadapan (pelanggan, melalui nota hantaran atau invois), dan ujian kebolehkesanan semasa audit berjaya.</t>
        </is>
      </c>
      <c r="C263" s="7" t="inlineStr">
        <is>
          <t>PKM per. 10(1); MHMS 5(9), 6</t>
        </is>
      </c>
      <c r="D263" s="7" t="inlineStr"/>
      <c r="E263" s="7" t="inlineStr"/>
      <c r="F263" t="inlineStr">
        <is>
          <t>N</t>
        </is>
      </c>
    </row>
    <row r="264">
      <c r="A264" s="7" t="inlineStr">
        <is>
          <t>N9</t>
        </is>
      </c>
      <c r="B264" s="7" t="inlineStr">
        <is>
          <t>Laporan audit pensijilan halal dan audit VHM terdahulu tersedia, dan setiap ketidakakuran telah ditutup dengan tindakan pembetulan.</t>
        </is>
      </c>
      <c r="C264" s="7" t="inlineStr">
        <is>
          <t>MPPHM 17(14)(b); Skim VHM JPV</t>
        </is>
      </c>
      <c r="D264" s="7" t="inlineStr"/>
      <c r="E264" s="7" t="inlineStr"/>
      <c r="F264" t="inlineStr">
        <is>
          <t>N</t>
        </is>
      </c>
    </row>
    <row r="265">
      <c r="A265" s="7" t="inlineStr">
        <is>
          <t>N10</t>
        </is>
      </c>
      <c r="B265" s="7" t="inlineStr">
        <is>
          <t>Rekod pemeriksaan, notis atau arahan daripada pihak berkuasa (JPV, KKM, PBT) dan tindakan pembetulan yang diambil disimpan.</t>
        </is>
      </c>
      <c r="C265" s="7" t="inlineStr">
        <is>
          <t>Akta Makanan 1983 s. 10, 11; Akta 507 s. 16</t>
        </is>
      </c>
      <c r="D265" s="7" t="inlineStr"/>
      <c r="E265" s="7" t="inlineStr"/>
      <c r="F265" t="inlineStr">
        <is>
          <t>N</t>
        </is>
      </c>
    </row>
    <row r="266">
      <c r="A266" s="7" t="inlineStr">
        <is>
          <t>N11</t>
        </is>
      </c>
      <c r="B266" s="7" t="inlineStr">
        <is>
          <t>Rumah sembelihan yang diswastakan: laporan operasi tahunan dan akaun beraudit dikemukakan dalam tempoh 3 bulan selepas akhir tahun kewangan, dan maklumat statistik sembelihan dikemukakan apabila diminta.</t>
        </is>
      </c>
      <c r="C266" s="7" t="inlineStr">
        <is>
          <t>Akta 507 s. 7</t>
        </is>
      </c>
      <c r="D266" s="7" t="inlineStr"/>
      <c r="E266" s="7" t="inlineStr"/>
      <c r="F266" t="inlineStr">
        <is>
          <t>N</t>
        </is>
      </c>
    </row>
    <row r="267">
      <c r="A267" s="7" t="inlineStr">
        <is>
          <t>N12</t>
        </is>
      </c>
      <c r="B267" s="7" t="inlineStr">
        <is>
          <t>Rumusan (ditanda selepas bahagian C hingga M selesai): tiada ketidakakuran terbuka terhadap MS 1500:2009, MS 1500:2019 dan undang-undang yang disenaraikan dalam MPPHM 18(7)(e).</t>
        </is>
      </c>
      <c r="C267" s="7" t="inlineStr">
        <is>
          <t>MPPHM 18(7)(e), 17(16)(a); MS 1500:2019 kl. 4.8*</t>
        </is>
      </c>
      <c r="D267" s="7" t="inlineStr"/>
      <c r="E267" s="7" t="inlineStr"/>
      <c r="F267" t="inlineStr">
        <is>
          <t>N</t>
        </is>
      </c>
    </row>
  </sheetData>
  <mergeCells count="29">
    <mergeCell ref="A114:E114"/>
    <mergeCell ref="A148:E148"/>
    <mergeCell ref="A166:E166"/>
    <mergeCell ref="A232:E232"/>
    <mergeCell ref="A182:E182"/>
    <mergeCell ref="A6:E6"/>
    <mergeCell ref="A218:E218"/>
    <mergeCell ref="A54:E54"/>
    <mergeCell ref="A205:E205"/>
    <mergeCell ref="A7:E7"/>
    <mergeCell ref="A128:E128"/>
    <mergeCell ref="A217:E217"/>
    <mergeCell ref="A255:E255"/>
    <mergeCell ref="A149:E149"/>
    <mergeCell ref="A80:E80"/>
    <mergeCell ref="A3:E3"/>
    <mergeCell ref="A55:E55"/>
    <mergeCell ref="A101:E101"/>
    <mergeCell ref="A129:E129"/>
    <mergeCell ref="A254:E254"/>
    <mergeCell ref="A181:E181"/>
    <mergeCell ref="A206:E206"/>
    <mergeCell ref="A231:E231"/>
    <mergeCell ref="A29:E29"/>
    <mergeCell ref="A100:E100"/>
    <mergeCell ref="A81:E81"/>
    <mergeCell ref="A165:E165"/>
    <mergeCell ref="A28:E28"/>
    <mergeCell ref="A115:E115"/>
  </mergeCells>
  <conditionalFormatting sqref="D6:D267">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5 D26 D27 D30 D31 D32 D33 D34 D35 D36 D37 D38 D39 D40 D41 D42 D43 D44 D45 D46 D47 D48 D49 D50 D51 D52 D53 D56 D57 D58 D59 D60 D61 D62 D63 D64 D65 D66 D67 D68 D69 D70 D71 D72 D73 D74 D75 D76 D77 D78 D79 D82 D83 D84 D85 D86 D87 D88 D89 D90 D91 D92 D93 D94 D95 D96 D97 D98 D99 D102 D103 D104 D105 D106 D107 D108 D109 D110 D111 D112 D113 D116 D117 D118 D119 D120 D121 D122 D123 D124 D125 D126 D127 D130 D131 D132 D133 D134 D135 D136 D137 D138 D139 D140 D141 D142 D143 D144 D145 D146 D147 D150 D151 D152 D153 D154 D155 D156 D157 D158 D159 D160 D161 D162 D163 D164 D167 D168 D169 D170 D171 D172 D173 D174 D175 D176 D177 D178 D179 D180 D183 D184 D185 D186 D187 D188 D189 D190 D191 D192 D193 D194 D195 D196 D197 D198 D199 D200 D201 D202 D203 D204 D207 D208 D209 D210 D211 D212 D213 D214 D215 D216 D219 D220 D221 D222 D223 D224 D225 D226 D227 D228 D229 D230 D233 D234 D235 D236 D237 D238 D239 D240 D241 D242 D243 D244 D245 D246 D247 D248 D249 D250 D251 D252 D253 D256 D257 D258 D259 D260 D261 D262 D263 D264 D265 D266 D267"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8"/>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Rumah Sembelihan</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&amp; Skop Permohonan</t>
        </is>
      </c>
      <c r="B4" t="n">
        <v>20</v>
      </c>
      <c r="C4">
        <f>COUNTIFS('Senarai Semak'!$F$6:$F$267,"A",'Senarai Semak'!$D$6:$D$267,"Ya")</f>
        <v/>
      </c>
      <c r="D4">
        <f>COUNTIFS('Senarai Semak'!$F$6:$F$267,"A",'Senarai Semak'!$D$6:$D$267,"Tidak")</f>
        <v/>
      </c>
      <c r="E4">
        <f>COUNTIFS('Senarai Semak'!$F$6:$F$267,"A",'Senarai Semak'!$D$6:$D$267,"TB")</f>
        <v/>
      </c>
      <c r="F4">
        <f>B4-C4-D4-E4</f>
        <v/>
      </c>
      <c r="G4" s="10">
        <f>IF(C4+D4=0,"",C4/(C4+D4))</f>
        <v/>
      </c>
    </row>
    <row r="5">
      <c r="A5" t="inlineStr">
        <is>
          <t>B: Pengurusan Halal &amp; MHMS mengikut Saiz Industri</t>
        </is>
      </c>
      <c r="B5" t="n">
        <v>24</v>
      </c>
      <c r="C5">
        <f>COUNTIFS('Senarai Semak'!$F$6:$F$267,"B",'Senarai Semak'!$D$6:$D$267,"Ya")</f>
        <v/>
      </c>
      <c r="D5">
        <f>COUNTIFS('Senarai Semak'!$F$6:$F$267,"B",'Senarai Semak'!$D$6:$D$267,"Tidak")</f>
        <v/>
      </c>
      <c r="E5">
        <f>COUNTIFS('Senarai Semak'!$F$6:$F$267,"B",'Senarai Semak'!$D$6:$D$267,"TB")</f>
        <v/>
      </c>
      <c r="F5">
        <f>B5-C5-D5-E5</f>
        <v/>
      </c>
      <c r="G5" s="10">
        <f>IF(C5+D5=0,"",C5/(C5+D5))</f>
        <v/>
      </c>
    </row>
    <row r="6">
      <c r="A6" t="inlineStr">
        <is>
          <t>C: Premis, Susun Atur &amp; Utiliti</t>
        </is>
      </c>
      <c r="B6" t="n">
        <v>24</v>
      </c>
      <c r="C6">
        <f>COUNTIFS('Senarai Semak'!$F$6:$F$267,"C",'Senarai Semak'!$D$6:$D$267,"Ya")</f>
        <v/>
      </c>
      <c r="D6">
        <f>COUNTIFS('Senarai Semak'!$F$6:$F$267,"C",'Senarai Semak'!$D$6:$D$267,"Tidak")</f>
        <v/>
      </c>
      <c r="E6">
        <f>COUNTIFS('Senarai Semak'!$F$6:$F$267,"C",'Senarai Semak'!$D$6:$D$267,"TB")</f>
        <v/>
      </c>
      <c r="F6">
        <f>B6-C6-D6-E6</f>
        <v/>
      </c>
      <c r="G6" s="10">
        <f>IF(C6+D6=0,"",C6/(C6+D6))</f>
        <v/>
      </c>
    </row>
    <row r="7">
      <c r="A7" t="inlineStr">
        <is>
          <t>D: Penerimaan Haiwan, Pembekal &amp; Kebajikan Haiwan</t>
        </is>
      </c>
      <c r="B7" t="n">
        <v>18</v>
      </c>
      <c r="C7">
        <f>COUNTIFS('Senarai Semak'!$F$6:$F$267,"D",'Senarai Semak'!$D$6:$D$267,"Ya")</f>
        <v/>
      </c>
      <c r="D7">
        <f>COUNTIFS('Senarai Semak'!$F$6:$F$267,"D",'Senarai Semak'!$D$6:$D$267,"Tidak")</f>
        <v/>
      </c>
      <c r="E7">
        <f>COUNTIFS('Senarai Semak'!$F$6:$F$267,"D",'Senarai Semak'!$D$6:$D$267,"TB")</f>
        <v/>
      </c>
      <c r="F7">
        <f>B7-C7-D7-E7</f>
        <v/>
      </c>
      <c r="G7" s="10">
        <f>IF(C7+D7=0,"",C7/(C7+D7))</f>
        <v/>
      </c>
    </row>
    <row r="8">
      <c r="A8" t="inlineStr">
        <is>
          <t>E: Penyembelih, Pemeriksa Halal &amp; Alat Sembelihan</t>
        </is>
      </c>
      <c r="B8" t="n">
        <v>12</v>
      </c>
      <c r="C8">
        <f>COUNTIFS('Senarai Semak'!$F$6:$F$267,"E",'Senarai Semak'!$D$6:$D$267,"Ya")</f>
        <v/>
      </c>
      <c r="D8">
        <f>COUNTIFS('Senarai Semak'!$F$6:$F$267,"E",'Senarai Semak'!$D$6:$D$267,"Tidak")</f>
        <v/>
      </c>
      <c r="E8">
        <f>COUNTIFS('Senarai Semak'!$F$6:$F$267,"E",'Senarai Semak'!$D$6:$D$267,"TB")</f>
        <v/>
      </c>
      <c r="F8">
        <f>B8-C8-D8-E8</f>
        <v/>
      </c>
      <c r="G8" s="10">
        <f>IF(C8+D8=0,"",C8/(C8+D8))</f>
        <v/>
      </c>
    </row>
    <row r="9">
      <c r="A9" t="inlineStr">
        <is>
          <t>F: Pelalian (Stunning) jika Digunakan</t>
        </is>
      </c>
      <c r="B9" t="n">
        <v>12</v>
      </c>
      <c r="C9">
        <f>COUNTIFS('Senarai Semak'!$F$6:$F$267,"F",'Senarai Semak'!$D$6:$D$267,"Ya")</f>
        <v/>
      </c>
      <c r="D9">
        <f>COUNTIFS('Senarai Semak'!$F$6:$F$267,"F",'Senarai Semak'!$D$6:$D$267,"Tidak")</f>
        <v/>
      </c>
      <c r="E9">
        <f>COUNTIFS('Senarai Semak'!$F$6:$F$267,"F",'Senarai Semak'!$D$6:$D$267,"TB")</f>
        <v/>
      </c>
      <c r="F9">
        <f>B9-C9-D9-E9</f>
        <v/>
      </c>
      <c r="G9" s="10">
        <f>IF(C9+D9=0,"",C9/(C9+D9))</f>
        <v/>
      </c>
    </row>
    <row r="10">
      <c r="A10" t="inlineStr">
        <is>
          <t>G: Penyembelihan &amp; Pemeriksaan Halal Selepas Sembelihan</t>
        </is>
      </c>
      <c r="B10" t="n">
        <v>18</v>
      </c>
      <c r="C10">
        <f>COUNTIFS('Senarai Semak'!$F$6:$F$267,"G",'Senarai Semak'!$D$6:$D$267,"Ya")</f>
        <v/>
      </c>
      <c r="D10">
        <f>COUNTIFS('Senarai Semak'!$F$6:$F$267,"G",'Senarai Semak'!$D$6:$D$267,"Tidak")</f>
        <v/>
      </c>
      <c r="E10">
        <f>COUNTIFS('Senarai Semak'!$F$6:$F$267,"G",'Senarai Semak'!$D$6:$D$267,"TB")</f>
        <v/>
      </c>
      <c r="F10">
        <f>B10-C10-D10-E10</f>
        <v/>
      </c>
      <c r="G10" s="10">
        <f>IF(C10+D10=0,"",C10/(C10+D10))</f>
        <v/>
      </c>
    </row>
    <row r="11">
      <c r="A11" t="inlineStr">
        <is>
          <t>H: Pemprosesan Karkas, Pendinginan &amp; Pemotongan</t>
        </is>
      </c>
      <c r="B11" t="n">
        <v>15</v>
      </c>
      <c r="C11">
        <f>COUNTIFS('Senarai Semak'!$F$6:$F$267,"H",'Senarai Semak'!$D$6:$D$267,"Ya")</f>
        <v/>
      </c>
      <c r="D11">
        <f>COUNTIFS('Senarai Semak'!$F$6:$F$267,"H",'Senarai Semak'!$D$6:$D$267,"Tidak")</f>
        <v/>
      </c>
      <c r="E11">
        <f>COUNTIFS('Senarai Semak'!$F$6:$F$267,"H",'Senarai Semak'!$D$6:$D$267,"TB")</f>
        <v/>
      </c>
      <c r="F11">
        <f>B11-C11-D11-E11</f>
        <v/>
      </c>
      <c r="G11" s="10">
        <f>IF(C11+D11=0,"",C11/(C11+D11))</f>
        <v/>
      </c>
    </row>
    <row r="12">
      <c r="A12" t="inlineStr">
        <is>
          <t>I: Peralatan, Bahan Bantu &amp; Bahan Kimia</t>
        </is>
      </c>
      <c r="B12" t="n">
        <v>14</v>
      </c>
      <c r="C12">
        <f>COUNTIFS('Senarai Semak'!$F$6:$F$267,"I",'Senarai Semak'!$D$6:$D$267,"Ya")</f>
        <v/>
      </c>
      <c r="D12">
        <f>COUNTIFS('Senarai Semak'!$F$6:$F$267,"I",'Senarai Semak'!$D$6:$D$267,"Tidak")</f>
        <v/>
      </c>
      <c r="E12">
        <f>COUNTIFS('Senarai Semak'!$F$6:$F$267,"I",'Senarai Semak'!$D$6:$D$267,"TB")</f>
        <v/>
      </c>
      <c r="F12">
        <f>B12-C12-D12-E12</f>
        <v/>
      </c>
      <c r="G12" s="10">
        <f>IF(C12+D12=0,"",C12/(C12+D12))</f>
        <v/>
      </c>
    </row>
    <row r="13">
      <c r="A13" t="inlineStr">
        <is>
          <t>J: Penyimpanan, Pembungkusan, Pelabelan &amp; Paparan Sijil</t>
        </is>
      </c>
      <c r="B13" t="n">
        <v>22</v>
      </c>
      <c r="C13">
        <f>COUNTIFS('Senarai Semak'!$F$6:$F$267,"J",'Senarai Semak'!$D$6:$D$267,"Ya")</f>
        <v/>
      </c>
      <c r="D13">
        <f>COUNTIFS('Senarai Semak'!$F$6:$F$267,"J",'Senarai Semak'!$D$6:$D$267,"Tidak")</f>
        <v/>
      </c>
      <c r="E13">
        <f>COUNTIFS('Senarai Semak'!$F$6:$F$267,"J",'Senarai Semak'!$D$6:$D$267,"TB")</f>
        <v/>
      </c>
      <c r="F13">
        <f>B13-C13-D13-E13</f>
        <v/>
      </c>
      <c r="G13" s="10">
        <f>IF(C13+D13=0,"",C13/(C13+D13))</f>
        <v/>
      </c>
    </row>
    <row r="14">
      <c r="A14" t="inlineStr">
        <is>
          <t>K: Pengangkutan &amp; Rantaian Sejuk</t>
        </is>
      </c>
      <c r="B14" t="n">
        <v>10</v>
      </c>
      <c r="C14">
        <f>COUNTIFS('Senarai Semak'!$F$6:$F$267,"K",'Senarai Semak'!$D$6:$D$267,"Ya")</f>
        <v/>
      </c>
      <c r="D14">
        <f>COUNTIFS('Senarai Semak'!$F$6:$F$267,"K",'Senarai Semak'!$D$6:$D$267,"Tidak")</f>
        <v/>
      </c>
      <c r="E14">
        <f>COUNTIFS('Senarai Semak'!$F$6:$F$267,"K",'Senarai Semak'!$D$6:$D$267,"TB")</f>
        <v/>
      </c>
      <c r="F14">
        <f>B14-C14-D14-E14</f>
        <v/>
      </c>
      <c r="G14" s="10">
        <f>IF(C14+D14=0,"",C14/(C14+D14))</f>
        <v/>
      </c>
    </row>
    <row r="15">
      <c r="A15" t="inlineStr">
        <is>
          <t>L: Kebersihan, Sanitasi, Kawalan Perosak &amp; Sisa</t>
        </is>
      </c>
      <c r="B15" t="n">
        <v>12</v>
      </c>
      <c r="C15">
        <f>COUNTIFS('Senarai Semak'!$F$6:$F$267,"L",'Senarai Semak'!$D$6:$D$267,"Ya")</f>
        <v/>
      </c>
      <c r="D15">
        <f>COUNTIFS('Senarai Semak'!$F$6:$F$267,"L",'Senarai Semak'!$D$6:$D$267,"Tidak")</f>
        <v/>
      </c>
      <c r="E15">
        <f>COUNTIFS('Senarai Semak'!$F$6:$F$267,"L",'Senarai Semak'!$D$6:$D$267,"TB")</f>
        <v/>
      </c>
      <c r="F15">
        <f>B15-C15-D15-E15</f>
        <v/>
      </c>
      <c r="G15" s="10">
        <f>IF(C15+D15=0,"",C15/(C15+D15))</f>
        <v/>
      </c>
    </row>
    <row r="16">
      <c r="A16" t="inlineStr">
        <is>
          <t>M: Pekerja, Latihan &amp; Kemudahan</t>
        </is>
      </c>
      <c r="B16" t="n">
        <v>21</v>
      </c>
      <c r="C16">
        <f>COUNTIFS('Senarai Semak'!$F$6:$F$267,"M",'Senarai Semak'!$D$6:$D$267,"Ya")</f>
        <v/>
      </c>
      <c r="D16">
        <f>COUNTIFS('Senarai Semak'!$F$6:$F$267,"M",'Senarai Semak'!$D$6:$D$267,"Tidak")</f>
        <v/>
      </c>
      <c r="E16">
        <f>COUNTIFS('Senarai Semak'!$F$6:$F$267,"M",'Senarai Semak'!$D$6:$D$267,"TB")</f>
        <v/>
      </c>
      <c r="F16">
        <f>B16-C16-D16-E16</f>
        <v/>
      </c>
      <c r="G16" s="10">
        <f>IF(C16+D16=0,"",C16/(C16+D16))</f>
        <v/>
      </c>
    </row>
    <row r="17">
      <c r="A17" t="inlineStr">
        <is>
          <t>N: Dokumentasi, Rekod &amp; Kebolehkesanan</t>
        </is>
      </c>
      <c r="B17" t="n">
        <v>12</v>
      </c>
      <c r="C17">
        <f>COUNTIFS('Senarai Semak'!$F$6:$F$267,"N",'Senarai Semak'!$D$6:$D$267,"Ya")</f>
        <v/>
      </c>
      <c r="D17">
        <f>COUNTIFS('Senarai Semak'!$F$6:$F$267,"N",'Senarai Semak'!$D$6:$D$267,"Tidak")</f>
        <v/>
      </c>
      <c r="E17">
        <f>COUNTIFS('Senarai Semak'!$F$6:$F$267,"N",'Senarai Semak'!$D$6:$D$267,"TB")</f>
        <v/>
      </c>
      <c r="F17">
        <f>B17-C17-D17-E17</f>
        <v/>
      </c>
      <c r="G17" s="10">
        <f>IF(C17+D17=0,"",C17/(C17+D17))</f>
        <v/>
      </c>
    </row>
    <row r="18">
      <c r="A18" s="11" t="inlineStr">
        <is>
          <t>Jumlah</t>
        </is>
      </c>
      <c r="B18" s="11">
        <f>SUM(B4:B17)</f>
        <v/>
      </c>
      <c r="C18" s="11">
        <f>SUM(C4:C17)</f>
        <v/>
      </c>
      <c r="D18" s="11">
        <f>SUM(D4:D17)</f>
        <v/>
      </c>
      <c r="E18" s="11">
        <f>SUM(E4:E17)</f>
        <v/>
      </c>
      <c r="F18" s="11">
        <f>SUM(F4:F17)</f>
        <v/>
      </c>
      <c r="G18" s="10">
        <f>IF(C18+D18=0,"",C18/(C18+D18))</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9"/>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s. 3, 5, 6, 17 dan 18(7)(a)-(f) dibaca daripada PDF rasmi (salinan JAIPs). Teks PDF yang boleh diekstrak berhenti pada 18(7)(f), jadi 18(7)(f)-(g)(vi)(e) dan permulaan (g)(vi)(f) dibaca daripada versi web manual (jommohonhalal.com). Teks selepas permulaan 18(7)(g)(vi)(f) tidak dapat dibaca. Lampiran C: tajuk daripada jadual kandungan; nilai arus dan tempoh diambil daripada sumber kedua (Jadual 1, Journal of Contemporary Islamic Studies UiTM, 2022). s. 19, 20, 36, 41, 58 (Sertu), 59 (Tauliah Penyembelih) dan 60 (Pengemaskinian Maklumat Sistem MYeHALAL): ringkasan atau tajuk daripada jadual kandungan sahaja.</t>
        </is>
      </c>
      <c r="D2" s="14" t="inlineStr">
        <is>
          <t>https://jaips.perlis.gov.my/phocadownload/MPPHM%20Domestik%202020%20JAKIM-JAIN.pdf</t>
        </is>
      </c>
    </row>
    <row r="3">
      <c r="A3" s="14" t="inlineStr">
        <is>
          <t>MHMS</t>
        </is>
      </c>
      <c r="B3" s="14" t="inlineStr">
        <is>
          <t>Sistem Pengurusan Halal Malaysia (Malaysian Halal Management System) 2020</t>
        </is>
      </c>
      <c r="C3" s="14" t="inlineStr">
        <is>
          <t>Teks penuh: dibaca daripada salinan dokumen rasmi JAKIM (serunai.com) melalui alat ringkasan, kerana pautan rasmi dialihkan ke laman utama. Bahagian yang disemak: 5(1)-5(13) (HAS), 6 (IHCS), 7(3) (Rumah Sembelihan), Lampiran C1 (tugas Penyelia Halal rumah sembelih), Lampiran E (senarai semak audit halal dalaman), Lampiran F2 (contoh carta alir poltri) dan Lampiran H (contoh pelan risiko halal). Lampiran ialah contoh dan borang.</t>
        </is>
      </c>
      <c r="D3" s="14" t="inlineStr">
        <is>
          <t>https://myehalal.halal.gov.my/portal-halal/v1/pdf/panduan/MHMS2020.pdf</t>
        </is>
      </c>
    </row>
    <row r="4">
      <c r="A4" s="14" t="inlineStr">
        <is>
          <t>MS 1500:2009</t>
        </is>
      </c>
      <c r="B4" s="14" t="inlineStr">
        <is>
          <t>MS 1500:2009 Halal food - Production, preparation, handling and storage - General guidelines (Second revision)</t>
        </is>
      </c>
      <c r="C4" s="14" t="inlineStr">
        <is>
          <t>Sumber kedua: struktur klausa (1-6, kl. 3.5 tentang sembelihan, Lampiran A tentang pelalian ruminan dan poltri, Lampiran B tentang sertu) daripada pangkalan data ChemLinked. Item kl. 3.5.2.1(a), (g), (i), (j), (k), (l) dan (n) diambil daripada petikan dalam artikel Journal of Fatwa Management and Research 27(1) 2022 (Baharuddin et al.). Teks rasmi tidak dibaca, jadi semua rujukan diberi tanda *. MySOL masih menyenaraikan edisi ini sebagai 'Published'.</t>
        </is>
      </c>
      <c r="D4" s="14" t="inlineStr">
        <is>
          <t>https://mysol.jsm.gov.my/search-catalogue?keyword=MS%201500%3A2009</t>
        </is>
      </c>
    </row>
    <row r="5">
      <c r="A5" s="14" t="inlineStr">
        <is>
          <t>MS 1500:2019</t>
        </is>
      </c>
      <c r="B5" s="14" t="inlineStr">
        <is>
          <t>MS 1500:2019 Halal food - General requirements (Third revision)</t>
        </is>
      </c>
      <c r="C5" s="14" t="inlineStr">
        <is>
          <t>Pratonton rasmi, tajuk klausa sahaja (4.1-4.8, 6, 7 dan Lampiran A tentang sertu), seperti yang disemak dalam rujukan asas projek. Halaman pratonton MySOL yang dibuka dalam sesi ini hanya memaparkan metadata. Isi klausa diringkaskan, jadi semua rujukan diberi tanda *.</t>
        </is>
      </c>
      <c r="D5" s="14" t="inlineStr">
        <is>
          <t>https://mysol.jsm.gov.my/search-catalogue?keyword=1500</t>
        </is>
      </c>
    </row>
    <row r="6">
      <c r="A6" s="14" t="inlineStr">
        <is>
          <t>Kaedah Binatang 1962</t>
        </is>
      </c>
      <c r="B6" s="14" t="inlineStr">
        <is>
          <t>Kaedah-Kaedah Binatang 1962 (Animals Rules 1962) di bawah Akta Binatang 1953. MPPHM 18(7)(e) menyebutnya 'Animal Rules 1962' dan taklimat menyebutnya 'Peraturan Binatang 1962'.</t>
        </is>
      </c>
      <c r="C6" s="14" t="inlineStr">
        <is>
          <t>Teks penuh (FAOLEX) disemak melalui alat ringkasan: k. 4 (kuarantin sekurang-kurangnya 10 hari bagi haiwan import untuk sembelihan), k. 7 dan k. 8. Terpakai di Semenanjung.</t>
        </is>
      </c>
      <c r="D6" s="14" t="inlineStr">
        <is>
          <t>https://faolex.fao.org/docs/pdf/mal189898.pdf</t>
        </is>
      </c>
    </row>
    <row r="7">
      <c r="A7" s="14" t="inlineStr">
        <is>
          <t>Akta Binatang 1953</t>
        </is>
      </c>
      <c r="B7" s="14" t="inlineStr">
        <is>
          <t>Akta Binatang 1953 (Semakan 2006) (Akta 647)</t>
        </is>
      </c>
      <c r="C7" s="14" t="inlineStr">
        <is>
          <t>Teks penuh (teks dikemas kini JPV 2024 dan cetakan semula 2006) disemak melalui alat ringkasan: s. 31, 33, 34, 36, 44 dan 51. Terpakai di Semenanjung.</t>
        </is>
      </c>
      <c r="D7" s="14" t="inlineStr">
        <is>
          <t>https://www.dvs.gov.my/dvs/resources/user_1/2024/Akta/Akta%20Binatang%201953%20%5BAkta%20647%5D%20/Animal_Act_1953_%5BAct_647%5D.pdf</t>
        </is>
      </c>
    </row>
    <row r="8">
      <c r="A8" s="14" t="inlineStr">
        <is>
          <t>Akta 507</t>
        </is>
      </c>
      <c r="B8" s="14" t="inlineStr">
        <is>
          <t>Akta Rumah Sembelihan (Penswastaan) 1993 (Akta 507)</t>
        </is>
      </c>
      <c r="C8" s="14" t="inlineStr">
        <is>
          <t>Teks penuh (FAOLEX) disemak melalui alat ringkasan: s. 1(2), 2, 3 (termasuk 3(2) tentang syarat lesen), 4 (penggantungan atau pembatalan lesen), 6, 7 dan 16. Terpakai di seluruh Malaysia kepada pengendali berlesen, iaitu rumah sembelihan yang diswastakan.</t>
        </is>
      </c>
      <c r="D8" s="14" t="inlineStr">
        <is>
          <t>https://faolex.fao.org/docs/pdf/mal33358.pdf</t>
        </is>
      </c>
    </row>
    <row r="9">
      <c r="A9" s="14" t="inlineStr">
        <is>
          <t>Kaedah Rumah Sembelihan Sabah</t>
        </is>
      </c>
      <c r="B9" s="14" t="inlineStr">
        <is>
          <t>Slaughterhouses Rules 2003 (Kaedah-Kaedah Rumah Sembelihan) di bawah Ordinan Binatang 1962 Sabah, diwartakan pada 2 Mac 2004. MPPHM 18(7)(e) menyebutnya 'Ordinance Sabah Slaughterhouse Rules 2004'.</t>
        </is>
      </c>
      <c r="C9" s="14" t="inlineStr">
        <is>
          <t>Teks penuh (laman Peguam Besar Negeri Sabah) disemak melalui alat ringkasan: k. 4, 6, 9, 10 dan 12. Terpakai di Sabah sahaja.</t>
        </is>
      </c>
      <c r="D9" s="14" t="inlineStr">
        <is>
          <t>https://sagc.sabah.gov.my/sites/default/files/law/Animals1962%28Slaughterhouses2003%29.pdf</t>
        </is>
      </c>
    </row>
    <row r="10">
      <c r="A10" s="14" t="inlineStr">
        <is>
          <t>Akta Makanan 1983</t>
        </is>
      </c>
      <c r="B10" s="14" t="inlineStr">
        <is>
          <t>Akta Makanan 1983 (Akta 281)</t>
        </is>
      </c>
      <c r="C10" s="14" t="inlineStr">
        <is>
          <t>Teks penuh (FAOLEX): tajuk s. 10, 11, 13 dan 16 disemak.</t>
        </is>
      </c>
      <c r="D10" s="14" t="inlineStr">
        <is>
          <t>https://faolex.fao.org/docs/pdf/mal27309.pdf</t>
        </is>
      </c>
    </row>
    <row r="11">
      <c r="A11" s="14" t="inlineStr">
        <is>
          <t>PM 1985</t>
        </is>
      </c>
      <c r="B11" s="14" t="inlineStr">
        <is>
          <t>Peraturan-Peraturan Makanan 1985 (P.U.(A) 437/1985)</t>
        </is>
      </c>
      <c r="C11" s="14" t="inlineStr">
        <is>
          <t>Teks penuh bagi per. 9-35 disemak dalam rujukan asas projek; per. 10, 11, 27, 31 dan 32 dipetik. Peruntukan khusus daging (Bahagian VIII) tidak dapat disahkan kerana teks dalam talian terpotong, jadi tidak dipetik.</t>
        </is>
      </c>
      <c r="D11" s="14" t="inlineStr">
        <is>
          <t>https://www.foodipedia.my/food-regulations-1985.pdf</t>
        </is>
      </c>
    </row>
    <row r="12">
      <c r="A12" s="14" t="inlineStr">
        <is>
          <t>PKM</t>
        </is>
      </c>
      <c r="B12" s="14" t="inlineStr">
        <is>
          <t>Peraturan-Peraturan Kebersihan Makanan 2009 (P.U.(A) 95/2009), di bawah Akta Makanan 1983</t>
        </is>
      </c>
      <c r="C12" s="14" t="inlineStr">
        <is>
          <t>Teks penuh (FAOLEX): per. 3, 25(4)-(5), 38(1)-(4), 39, 40, 41 dan 56 dibaca untuk senarai ini. Nombor peraturan lain (termasuk per. 6, 7 dan 9) mengikut yang telah disahkan daripada teks penuh dalam rujukan asas projek.</t>
        </is>
      </c>
      <c r="D12" s="14" t="inlineStr">
        <is>
          <t>https://faolex.fao.org/docs/pdf/mal91581.pdf</t>
        </is>
      </c>
    </row>
    <row r="13">
      <c r="A13" s="14" t="inlineStr">
        <is>
          <t>Akta Kebajikan Haiwan 2015</t>
        </is>
      </c>
      <c r="B13" s="14" t="inlineStr">
        <is>
          <t>Akta Kebajikan Haiwan 2015 (Akta 772)</t>
        </is>
      </c>
      <c r="C13" s="14" t="inlineStr">
        <is>
          <t>Teks penuh (salinan pihak ketiga) disemak melalui alat ringkasan: s. 1(2), 15(1)-(2), 24, 27, 29, 30 dan Jadual (aktiviti 'Slaughtering of animals'). Terpakai di Semenanjung dan Labuan. Akta ini tidak dinamakan dalam MPPHM 18(7)(e) tetapi termasuk dalam 'lain-lain perundangan dan peraturan terkini' yang disebut di situ.</t>
        </is>
      </c>
      <c r="D13" s="14" t="inlineStr">
        <is>
          <t>https://www.globalanimallaw.org/downloads/database/national/malaysia/Malaysia-Animal-Welfare-Act-2015.pdf</t>
        </is>
      </c>
    </row>
    <row r="14">
      <c r="A14" s="14" t="inlineStr">
        <is>
          <t>Akta Perihal Dagangan 2011</t>
        </is>
      </c>
      <c r="B14" s="14" t="inlineStr">
        <is>
          <t>Akta Perihal Dagangan 2011 (Akta 730)</t>
        </is>
      </c>
      <c r="C14" s="14" t="inlineStr">
        <is>
          <t>Nombor seksyen (s. 28, 29 tentang ungkapan halal) mengikut rujukan asas projek; teks tidak dibaca semula dalam sesi ini.</t>
        </is>
      </c>
      <c r="D14" s="14" t="inlineStr"/>
    </row>
    <row r="15">
      <c r="A15" s="14" t="inlineStr">
        <is>
          <t>Skim VHM JPV</t>
        </is>
      </c>
      <c r="B15" s="14" t="inlineStr">
        <is>
          <t>Skim Pensijilan Veterinar: Veterinary Health Mark (VHM) dan Good Veterinary Hygiene Practice (GVHP), Jabatan Perkhidmatan Veterinar</t>
        </is>
      </c>
      <c r="C15" s="14" t="inlineStr">
        <is>
          <t>Pratonton rasmi: laman JPV, dokumen 'Pengenalan VHM' dan nota rujukan 'Skim Pensijilan Veterinar' (2025) diringkaskan. Prasyarat: lesen PBT, ID premis, rekod GMP dan HACCP selama 3 bulan. Kriteria: GMP, HACCP, kebersihan dan sanitasi, kawalan persekitaran, pemeriksaan ante-mortem dan post-mortem, dan kebolehkesanan. Tiada nombor klausa.</t>
        </is>
      </c>
      <c r="D15" s="14" t="inlineStr">
        <is>
          <t>https://www.dvs.gov.my/index.php/pages/view/4500</t>
        </is>
      </c>
    </row>
    <row r="16">
      <c r="A16" s="14" t="inlineStr">
        <is>
          <t>Fatwa MKI 2005 (stunning)</t>
        </is>
      </c>
      <c r="B16" s="14" t="inlineStr">
        <is>
          <t>Keputusan Muzakarah (Khas) Jawatankuasa Fatwa Majlis Kebangsaan Bagi Hal Ehwal Ugama Islam Malaysia: Hukum Mengenai Stunning Haiwan (29 September 2005)</t>
        </is>
      </c>
      <c r="C16" s="14" t="inlineStr">
        <is>
          <t>Sumber kedua, kerana laman e-SMAF tidak dapat dicapai: artikel Journal of Contemporary Islamic Studies UiTM 2022 dan blog yang memetik e-SMAF. Isi keputusan: captive bolt (penetrative dan non-penetrative) haram; kejutan elektrik jenis kepala sahaja (0.75 A bagi kambing, 2.0 A bagi lembu, 3-6 saat); waterbath bagi ayam dan itik dengan arus yang dikawal; semuanya diselia petugas Muslim bertauliah.</t>
        </is>
      </c>
      <c r="D16" s="14" t="inlineStr">
        <is>
          <t>http://e-smaf.islam.gov.my/e-smaf/index.php/main/mainv1/fatwa/pr/15293</t>
        </is>
      </c>
    </row>
    <row r="17">
      <c r="A17" s="14" t="inlineStr">
        <is>
          <t>Fatwa MKI 2000 (pisau mekanikal)</t>
        </is>
      </c>
      <c r="B17" s="14" t="inlineStr">
        <is>
          <t>Keputusan Muzakarah Jawatankuasa Fatwa MKI kali ke-48 (3 April 2000) mengenai penyembelihan menggunakan pisau mekanikal</t>
        </is>
      </c>
      <c r="C17" s="14" t="inlineStr">
        <is>
          <t>Sumber kedua: artikel Journal of Fatwa Management and Research (USIM) dan laman tzkrh.com.</t>
        </is>
      </c>
      <c r="D17" s="14" t="inlineStr">
        <is>
          <t>https://jfatwa.usim.edu.my/index.php/jfatwa/article/download/129/74/77</t>
        </is>
      </c>
    </row>
    <row r="18">
      <c r="A18" s="14" t="inlineStr">
        <is>
          <t>Perintah Takrif Halal 2011</t>
        </is>
      </c>
      <c r="B18" s="14" t="inlineStr">
        <is>
          <t>Perintah Perihal Dagangan (Takrif Halal) 2011 (P.U.(A) 430/2011)</t>
        </is>
      </c>
      <c r="C18" s="14" t="inlineStr">
        <is>
          <t>Sumber kedua (ChemLinked) bagi perenggan 3: makanan halal tidak mengandungi bahagian haiwan yang tidak disembelih mengikut Hukum Syarak dan fatwa.</t>
        </is>
      </c>
      <c r="D18" s="14" t="inlineStr">
        <is>
          <t>https://food.chemlinked.com/foodpedia/malaysian-halal-food-regulation</t>
        </is>
      </c>
    </row>
    <row r="19">
      <c r="A19" s="14" t="inlineStr">
        <is>
          <t>Perintah Perakuan &amp; Penandaan Halal 2011</t>
        </is>
      </c>
      <c r="B19" s="14" t="inlineStr">
        <is>
          <t>Perintah Perihal Dagangan (Perakuan dan Penandaan Halal) 2011 (P.U.(A) 431/2011)</t>
        </is>
      </c>
      <c r="C19" s="14" t="inlineStr">
        <is>
          <t>Teks penuh warta disemak melalui alat ringkasan: perenggan 3, 4(1), 4(2), 5 dan 6.</t>
        </is>
      </c>
      <c r="D19" s="14" t="inlineStr">
        <is>
          <t>https://login.totalweblite.com/Clients/halalfood/431wartaperakuanhalal.pdf</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2026-10-06T15:51:03Z</dcterms:created>
  <dcterms:modified xmlns:dcterms="http://purl.org/dc/terms/" xmlns:xsi="http://www.w3.org/2001/XMLSchema-instance" xsi:type="dcterms:W3CDTF">2026-10-06T15:51:03Z</dcterms:modified>
</cp:coreProperties>
</file>