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Semak'!$A$1:$E$250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50"/>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Produk Farmaseutikal</t>
        </is>
      </c>
    </row>
    <row r="2">
      <c r="A2" t="inlineStr">
        <is>
          <t>Premis/syarikat: ______________________________   Jenis produk: __________   Tarikh: ____________   Juruaudit: ______________________</t>
        </is>
      </c>
    </row>
    <row r="3" ht="28" customHeight="1">
      <c r="A3" s="2" t="inlineStr">
        <is>
          <t>Ya = patuh, Tidak = tidak patuh, TB = tidak berkaitan. Rujukan bertanda * = hanya tajuk klausa disahkan dari pratonton rasmi JSM; isi diringkaskan.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&amp; Skop Permohonan</t>
        </is>
      </c>
      <c r="B6" s="5" t="n"/>
      <c r="C6" s="5" t="n"/>
      <c r="D6" s="5" t="n"/>
      <c r="E6" s="6" t="n"/>
    </row>
    <row r="7" ht="26" customHeight="1">
      <c r="A7" s="2" t="inlineStr">
        <is>
          <t>Semak dokumen pendaftaran syarikat, lesen NPRA, status GMP dan pendaftaran produk PBKD, kemudian padankan senarai produk dalam MYeHALAL dengan produk yang sebenarnya dikeluarkan dan diedarkan oleh syarikat.</t>
        </is>
      </c>
    </row>
    <row r="8">
      <c r="A8" s="7" t="inlineStr">
        <is>
          <t>A1</t>
        </is>
      </c>
      <c r="B8" s="7" t="inlineStr">
        <is>
          <t>Pendaftaran perniagaan (SSM, koperasi atau dokumen penubuhan) masih sah, dan nama serta alamatnya sama dengan permohonan SPHM.</t>
        </is>
      </c>
      <c r="C8" s="7" t="inlineStr">
        <is>
          <t>MPPHM 5(1)</t>
        </is>
      </c>
      <c r="D8" s="7" t="inlineStr"/>
      <c r="E8" s="7" t="inlineStr"/>
      <c r="F8" t="inlineStr">
        <is>
          <t>A</t>
        </is>
      </c>
    </row>
    <row r="9">
      <c r="A9" s="7" t="inlineStr">
        <is>
          <t>A2</t>
        </is>
      </c>
      <c r="B9" s="7" t="inlineStr">
        <is>
          <t>Lesen atau kelulusan PBT (atau surat pengesahan agensi Kerajaan) bagi premis kilang masih sah.</t>
        </is>
      </c>
      <c r="C9" s="7" t="inlineStr">
        <is>
          <t>MPPHM 5(2), 17(8)(m)</t>
        </is>
      </c>
      <c r="D9" s="7" t="inlineStr"/>
      <c r="E9" s="7" t="inlineStr"/>
      <c r="F9" t="inlineStr">
        <is>
          <t>A</t>
        </is>
      </c>
    </row>
    <row r="10">
      <c r="A10" s="7" t="inlineStr">
        <is>
          <t>A3</t>
        </is>
      </c>
      <c r="B10" s="7" t="inlineStr">
        <is>
          <t>Lesen Pengilang daripada NPRA (Borang 2) masih sah (lesen sah selama satu tahun), dikeluarkan atas nama syarikat pemohon, menyatakan alamat premis yang diaudit, dan syarat yang dikenakan pada lesen dipatuhi.</t>
        </is>
      </c>
      <c r="C10" s="7" t="inlineStr">
        <is>
          <t>MPPHM 5(5), 18(3)(b); PKDK 1984 per. 12(1)(a), 12(4)</t>
        </is>
      </c>
      <c r="D10" s="7" t="inlineStr"/>
      <c r="E10" s="7" t="inlineStr"/>
      <c r="F10" t="inlineStr">
        <is>
          <t>A</t>
        </is>
      </c>
    </row>
    <row r="11">
      <c r="A11" s="7" t="inlineStr">
        <is>
          <t>A4</t>
        </is>
      </c>
      <c r="B11" s="7" t="inlineStr">
        <is>
          <t>Sijil GMP NPRA atau laporan pemeriksaan GMP NPRA yang terkini tersedia, dan tindakan pembetulan bagi penemuan pemeriksaan GMP telah ditutup.</t>
        </is>
      </c>
      <c r="C11" s="7" t="inlineStr">
        <is>
          <t>MPPHM 17(8)(i), 18(3)(b); FAQ GMP NPRA (S14)</t>
        </is>
      </c>
      <c r="D11" s="7" t="inlineStr"/>
      <c r="E11" s="7" t="inlineStr"/>
      <c r="F11" t="inlineStr">
        <is>
          <t>A</t>
        </is>
      </c>
    </row>
    <row r="12">
      <c r="A12" s="7" t="inlineStr">
        <is>
          <t>A5</t>
        </is>
      </c>
      <c r="B12" s="7" t="inlineStr">
        <is>
          <t>Piawaian GMP yang dipatuhi sesuai dengan jenis produk: PIC/S Guide to GMP bagi racun berjadual dan OTC, dan Garis Panduan GMP NPRA bagi Ubat Tradisional dan Suplemen Kesihatan 2008 bagi produk semula jadi dan suplemen kesihatan. Produk semula jadi bertuntutan tinggi dikilangkan di premis yang mematuhi PIC/S.</t>
        </is>
      </c>
      <c r="C12" s="7" t="inlineStr">
        <is>
          <t>MPPHM 17(3)(e), 18(3)(b); FAQ GMP NPRA (S4); PIC/S GMP; GP GMP UT/SK 2008</t>
        </is>
      </c>
      <c r="D12" s="7" t="inlineStr"/>
      <c r="E12" s="7" t="inlineStr"/>
      <c r="F12" t="inlineStr">
        <is>
          <t>A</t>
        </is>
      </c>
    </row>
    <row r="13">
      <c r="A13" s="7" t="inlineStr">
        <is>
          <t>A6</t>
        </is>
      </c>
      <c r="B13" s="7" t="inlineStr">
        <is>
          <t>Setiap produk yang dipohon berdaftar dengan PBKD dan mempunyai nombor pendaftaran (MAL) yang sah, dan premis ini (atau, bagi produk yang dikilangkan secara kontrak, pengilang kontrak tersebut) tercatat sebagai pengilang dalam rekod pendaftaran produk.</t>
        </is>
      </c>
      <c r="C13" s="7" t="inlineStr">
        <is>
          <t>MPPHM 18(3)(a); PKDK 1984 per. 7(1), 8, 9(2)</t>
        </is>
      </c>
      <c r="D13" s="7" t="inlineStr"/>
      <c r="E13" s="7" t="inlineStr"/>
      <c r="F13" t="inlineStr">
        <is>
          <t>A</t>
        </is>
      </c>
    </row>
    <row r="14">
      <c r="A14" s="7" t="inlineStr">
        <is>
          <t>A7</t>
        </is>
      </c>
      <c r="B14" s="7" t="inlineStr">
        <is>
          <t>Produk yang dipohon ialah produk dos siap untuk kegunaan manusia dalam salah satu kategori yang layak: racun berjadual (preskripsi), bukan racun berjadual (OTC), suplemen kesihatan, atau produk semula jadi (ubat tradisional dan komplementari). Produk veterinar, bahan aktif atau bahan pukal yang belum dalam bentuk dos siap, dan produk yang belum berdaftar (termasuk vaksin atau biologik yang masih dalam ujian klinikal) tidak dipohon.</t>
        </is>
      </c>
      <c r="C14" s="7" t="inlineStr">
        <is>
          <t>MPPHM 3, 18(3)(a), 18(3)(c)</t>
        </is>
      </c>
      <c r="D14" s="7" t="inlineStr"/>
      <c r="E14" s="7" t="inlineStr"/>
      <c r="F14" t="inlineStr">
        <is>
          <t>A</t>
        </is>
      </c>
    </row>
    <row r="15">
      <c r="A15" s="7" t="inlineStr">
        <is>
          <t>A8</t>
        </is>
      </c>
      <c r="B15" s="7" t="inlineStr">
        <is>
          <t>Premis telah beroperasi sepenuhnya sekurang-kurangnya 3 bulan sebelum permohonan baharu, atau sekurang-kurangnya 1 bulan di premis baharu bagi syarikat yang berpindah.</t>
        </is>
      </c>
      <c r="C15" s="7" t="inlineStr">
        <is>
          <t>MPPHM 5(7), 5(8)</t>
        </is>
      </c>
      <c r="D15" s="7" t="inlineStr"/>
      <c r="E15" s="7" t="inlineStr"/>
      <c r="F15" t="inlineStr">
        <is>
          <t>A</t>
        </is>
      </c>
    </row>
    <row r="16">
      <c r="A16" s="7" t="inlineStr">
        <is>
          <t>A9</t>
        </is>
      </c>
      <c r="B16" s="7" t="inlineStr">
        <is>
          <t>Syarikat mengeluarkan dan mengendalikan produk halal sahaja, termasuk produk dagangan yang diimport atau diedarkan. Syarikat tidak mengeluarkan atau mengedarkan produk tidak halal bersama produk halal.</t>
        </is>
      </c>
      <c r="C16" s="7" t="inlineStr">
        <is>
          <t>MPPHM 5(9), 6(1), 6(2)</t>
        </is>
      </c>
      <c r="D16" s="7" t="inlineStr"/>
      <c r="E16" s="7" t="inlineStr"/>
      <c r="F16" t="inlineStr">
        <is>
          <t>A</t>
        </is>
      </c>
    </row>
    <row r="17">
      <c r="A17" s="7" t="inlineStr">
        <is>
          <t>A10</t>
        </is>
      </c>
      <c r="B17" s="7" t="inlineStr">
        <is>
          <t>Semua produk yang masih dikeluarkan di premis (termasuk produk untuk eksport) dipohon SPHM, dan senarai produk dalam MYeHALAL sepadan dengan senarai produk berdaftar yang dikeluarkan.</t>
        </is>
      </c>
      <c r="C17" s="7" t="inlineStr">
        <is>
          <t>MPPHM 5(10), 17(2)(b)</t>
        </is>
      </c>
      <c r="D17" s="7" t="inlineStr"/>
      <c r="E17" s="7" t="inlineStr"/>
      <c r="F17" t="inlineStr">
        <is>
          <t>A</t>
        </is>
      </c>
    </row>
    <row r="18">
      <c r="A18" s="7" t="inlineStr">
        <is>
          <t>A11</t>
        </is>
      </c>
      <c r="B18" s="7" t="inlineStr">
        <is>
          <t>Produk dalam senarai permohonan yang tidak diproses sepanjang tempoh sah SPHM terdahulu dikenal pasti, kerana produk tersebut boleh digugurkan daripada senarai permohonan SPHM.</t>
        </is>
      </c>
      <c r="C18" s="7" t="inlineStr">
        <is>
          <t>MPPHM 17(2)(e)</t>
        </is>
      </c>
      <c r="D18" s="7" t="inlineStr"/>
      <c r="E18" s="7" t="inlineStr"/>
      <c r="F18" t="inlineStr">
        <is>
          <t>A</t>
        </is>
      </c>
    </row>
    <row r="19">
      <c r="A19" s="7" t="inlineStr">
        <is>
          <t>A12</t>
        </is>
      </c>
      <c r="B19" s="7" t="inlineStr">
        <is>
          <t>Jenama yang sama tidak digunakan bagi produk halal dan produk tidak halal (cth. varian kapsul gelatin babi di bawah jenama yang sama).</t>
        </is>
      </c>
      <c r="C19" s="7" t="inlineStr">
        <is>
          <t>MPPHM 6(3)</t>
        </is>
      </c>
      <c r="D19" s="7" t="inlineStr"/>
      <c r="E19" s="7" t="inlineStr"/>
      <c r="F19" t="inlineStr">
        <is>
          <t>A</t>
        </is>
      </c>
    </row>
    <row r="20">
      <c r="A20" s="7" t="inlineStr">
        <is>
          <t>A13</t>
        </is>
      </c>
      <c r="B20" s="7" t="inlineStr">
        <is>
          <t>Nama syarikat, produk, jenama dan ramuan tidak menggunakan perkataan 'halal' atau representasi seumpamanya.</t>
        </is>
      </c>
      <c r="C20" s="7" t="inlineStr">
        <is>
          <t>MPPHM 5(12)</t>
        </is>
      </c>
      <c r="D20" s="7" t="inlineStr"/>
      <c r="E20" s="7" t="inlineStr"/>
      <c r="F20" t="inlineStr">
        <is>
          <t>A</t>
        </is>
      </c>
    </row>
    <row r="21">
      <c r="A21" s="7" t="inlineStr">
        <is>
          <t>A14</t>
        </is>
      </c>
      <c r="B21" s="7" t="inlineStr">
        <is>
          <t>Nama produk atau jenama tidak merujuk kepada produk tidak halal dan tidak menggunakan istilah yang mengelirukan (cth. 'wine', 'tonik wain', 'rum', 'beer'; rujuk Lampiran A MPPHM).</t>
        </is>
      </c>
      <c r="C21" s="7" t="inlineStr">
        <is>
          <t>MPPHM 6(7), Lampiran A</t>
        </is>
      </c>
      <c r="D21" s="7" t="inlineStr"/>
      <c r="E21" s="7" t="inlineStr"/>
      <c r="F21" t="inlineStr">
        <is>
          <t>A</t>
        </is>
      </c>
    </row>
    <row r="22">
      <c r="A22" s="7" t="inlineStr">
        <is>
          <t>A15</t>
        </is>
      </c>
      <c r="B22" s="7" t="inlineStr">
        <is>
          <t>Tiada produk yang boleh membawa kepada penyelewengan akidah, khurafat atau penipuan (cth. ubat tradisional yang didakwa berjampi, tangkal, 'air penawar' atau minyak untuk ritual), dan tiada produk yang memberi implikasi negatif terhadap agama dan sosial.</t>
        </is>
      </c>
      <c r="C22" s="7" t="inlineStr">
        <is>
          <t>MPPHM 6(5), 6(11), 17(3)(d)</t>
        </is>
      </c>
      <c r="D22" s="7" t="inlineStr"/>
      <c r="E22" s="7" t="inlineStr"/>
      <c r="F22" t="inlineStr">
        <is>
          <t>A</t>
        </is>
      </c>
    </row>
    <row r="23">
      <c r="A23" s="7" t="inlineStr">
        <is>
          <t>A16</t>
        </is>
      </c>
      <c r="B23" s="7" t="inlineStr">
        <is>
          <t>Pembungkusan semula (jika berkaitan): produk yang dibungkus semula mempunyai sijil halal yang diiktiraf dan masih sah. Dokumen sokongan yang jelas menyatakan sumber bahan hanya diterima bagi bahan semula jadi.</t>
        </is>
      </c>
      <c r="C23" s="7" t="inlineStr">
        <is>
          <t>MPPHM 5(11)</t>
        </is>
      </c>
      <c r="D23" s="7" t="inlineStr"/>
      <c r="E23" s="7" t="inlineStr"/>
      <c r="F23" t="inlineStr">
        <is>
          <t>A</t>
        </is>
      </c>
    </row>
    <row r="24">
      <c r="A24" s="7" t="inlineStr">
        <is>
          <t>A17</t>
        </is>
      </c>
      <c r="B24" s="7" t="inlineStr">
        <is>
          <t>Produk siap (tempatan atau import) yang hanya dilabel semula tanpa menjalani sebarang proses di Malaysia tidak dipohon.</t>
        </is>
      </c>
      <c r="C24" s="7" t="inlineStr">
        <is>
          <t>MPPHM 6(8)</t>
        </is>
      </c>
      <c r="D24" s="7" t="inlineStr"/>
      <c r="E24" s="7" t="inlineStr"/>
      <c r="F24" t="inlineStr">
        <is>
          <t>A</t>
        </is>
      </c>
    </row>
    <row r="25">
      <c r="A25" s="7" t="inlineStr">
        <is>
          <t>A18</t>
        </is>
      </c>
      <c r="B25" s="7" t="inlineStr">
        <is>
          <t>Produk di peringkat R&amp;D yang belum sedia dikomersialkan tidak dipohon. Produk baharu yang dipohon pula sudah sedia dikomersialkan: bahannya tersedia untuk diperiksa, tiada perubahan bahan atau pembungkusan, larian percubaan telah dibuat, dan produk telah diluluskan pengurusan.</t>
        </is>
      </c>
      <c r="C25" s="7" t="inlineStr">
        <is>
          <t>MPPHM 6(10), 17(2)(h)</t>
        </is>
      </c>
      <c r="D25" s="7" t="inlineStr"/>
      <c r="E25" s="7" t="inlineStr"/>
      <c r="F25" t="inlineStr">
        <is>
          <t>A</t>
        </is>
      </c>
    </row>
    <row r="26">
      <c r="A26" s="7" t="inlineStr">
        <is>
          <t>A19</t>
        </is>
      </c>
      <c r="B26" s="7" t="inlineStr">
        <is>
          <t>Jika premis turut mengilang produk untuk syarikat lain (pengilangan kontrak), premis memegang SPHM skim Pengilangan Kontrak/OEM yang sah.</t>
        </is>
      </c>
      <c r="C26" s="7" t="inlineStr">
        <is>
          <t>MPPHM 17(17)(a), 18(8)</t>
        </is>
      </c>
      <c r="D26" s="7" t="inlineStr"/>
      <c r="E26" s="7" t="inlineStr"/>
      <c r="F26" t="inlineStr">
        <is>
          <t>A</t>
        </is>
      </c>
    </row>
    <row r="27">
      <c r="A27" s="7" t="inlineStr">
        <is>
          <t>A20</t>
        </is>
      </c>
      <c r="B27" s="7" t="inlineStr">
        <is>
          <t>Jika syarikat menggunakan pengilang kontrak bagi mana-mana produk yang dipohon, pengilang itu memegang SPHM skim OEM yang sah dan sijil itu meliputi produk tersebut.</t>
        </is>
      </c>
      <c r="C27" s="7" t="inlineStr">
        <is>
          <t>MPPHM 17(17)(b), 18(8)</t>
        </is>
      </c>
      <c r="D27" s="7" t="inlineStr"/>
      <c r="E27" s="7" t="inlineStr"/>
      <c r="F27" t="inlineStr">
        <is>
          <t>A</t>
        </is>
      </c>
    </row>
    <row r="28">
      <c r="A28" s="4" t="inlineStr">
        <is>
          <t>Bahagian B: Pengurusan Halal, HAS/IHCS &amp; Sistem Kualiti</t>
        </is>
      </c>
      <c r="B28" s="5" t="n"/>
      <c r="C28" s="5" t="n"/>
      <c r="D28" s="5" t="n"/>
      <c r="E28" s="6" t="n"/>
    </row>
    <row r="29" ht="26" customHeight="1">
      <c r="A29" s="2" t="inlineStr">
        <is>
          <t>Semak manual HAS/IHCS, surat lantikan, minit JKHD, pelan kawalan risiko halal, laporan audit dalaman dan rekod kawalan perubahan, kemudian sahkan maklumatnya melalui temu bual dengan pengurusan atasan, Eksekutif/Penyelia Halal, QA dan pekerja.</t>
        </is>
      </c>
    </row>
    <row r="30">
      <c r="A30" s="7" t="inlineStr">
        <is>
          <t>B1</t>
        </is>
      </c>
      <c r="B30" s="7" t="inlineStr">
        <is>
          <t>Kategori saiz industri (mikro, kecil, sederhana atau besar) ditentukan dengan betul berdasarkan nilai perolehan tahunan, untuk menentukan sama ada HAS atau IHCS diperlukan.</t>
        </is>
      </c>
      <c r="C30" s="7" t="inlineStr">
        <is>
          <t>MPPHM 8 (Jadual 1), 18(3)(e)</t>
        </is>
      </c>
      <c r="D30" s="7" t="inlineStr"/>
      <c r="E30" s="7" t="inlineStr"/>
      <c r="F30" t="inlineStr">
        <is>
          <t>B</t>
        </is>
      </c>
    </row>
    <row r="31">
      <c r="A31" s="7" t="inlineStr">
        <is>
          <t>B2</t>
        </is>
      </c>
      <c r="B31" s="7" t="inlineStr">
        <is>
          <t>Pengurusan atasan menunjukkan komitmen terhadap halal: tanggungjawab dan kuasa halal ditetapkan, dan sumber kewangan, infrastruktur serta tenaga kerja (termasuk untuk latihan halal) disediakan.</t>
        </is>
      </c>
      <c r="C31" s="7" t="inlineStr">
        <is>
          <t>MS 2424 kl. 4.2*; MPPHM 17(12)(g); MHMS 5(4)</t>
        </is>
      </c>
      <c r="D31" s="7" t="inlineStr"/>
      <c r="E31" s="7" t="inlineStr"/>
      <c r="F31" t="inlineStr">
        <is>
          <t>B</t>
        </is>
      </c>
    </row>
    <row r="32">
      <c r="A32" s="7" t="inlineStr">
        <is>
          <t>B3</t>
        </is>
      </c>
      <c r="B32" s="7" t="inlineStr">
        <is>
          <t>Polisi halal bertulis menyatakan komitmen syarikat untuk menghasilkan produk farmaseutikal halal dan mematuhi keperluan pensijilan. Polisi ini dipamerkan dan dimaklumkan kepada pekerja serta pihak berkepentingan.</t>
        </is>
      </c>
      <c r="C32" s="7" t="inlineStr">
        <is>
          <t>MHMS 5(2), 6</t>
        </is>
      </c>
      <c r="D32" s="7" t="inlineStr"/>
      <c r="E32" s="7" t="inlineStr"/>
      <c r="F32" t="inlineStr">
        <is>
          <t>B</t>
        </is>
      </c>
    </row>
    <row r="33">
      <c r="A33" s="7" t="inlineStr">
        <is>
          <t>B4</t>
        </is>
      </c>
      <c r="B33" s="7" t="inlineStr">
        <is>
          <t>Manual kualiti atau dokumen sistem kualiti farmaseutikal (PQS) syarikat merujuk kepada keperluan halal (MS 2424 dan MPPHM) sebagai sebahagian daripada sistem kualiti.</t>
        </is>
      </c>
      <c r="C33" s="7" t="inlineStr">
        <is>
          <t>MS 2424 kl. 4.1*; PIC/S GMP Bab 1</t>
        </is>
      </c>
      <c r="D33" s="7" t="inlineStr"/>
      <c r="E33" s="7" t="inlineStr"/>
      <c r="F33" t="inlineStr">
        <is>
          <t>B</t>
        </is>
      </c>
    </row>
    <row r="34">
      <c r="A34" s="7" t="inlineStr">
        <is>
          <t>B5</t>
        </is>
      </c>
      <c r="B34" s="7" t="inlineStr">
        <is>
          <t>Tanggungjawab halal bagi personel utama (cth. Ketua Pengeluaran, Ketua QC/QA, Pembelian, R&amp;D dan Gudang) dinyatakan dalam huraian tugas masing-masing.</t>
        </is>
      </c>
      <c r="C34" s="7" t="inlineStr">
        <is>
          <t>MS 2424 kl. 4.6*; PIC/S GMP Bab 2</t>
        </is>
      </c>
      <c r="D34" s="7" t="inlineStr"/>
      <c r="E34" s="7" t="inlineStr"/>
      <c r="F34" t="inlineStr">
        <is>
          <t>B</t>
        </is>
      </c>
    </row>
    <row r="35">
      <c r="A35" s="7" t="inlineStr">
        <is>
          <t>B6</t>
        </is>
      </c>
      <c r="B35" s="7" t="inlineStr">
        <is>
          <t>HAS (besar/sederhana): sekurang-kurangnya 2 pekerja Muslim warganegara Malaysia berjawatan tetap dilantik dan bertugas di kawasan pemprosesan sepanjang tempoh operasi atau syif. Sahkan melalui jadual syif dan rekod kehadiran.</t>
        </is>
      </c>
      <c r="C35" s="7" t="inlineStr">
        <is>
          <t>MPPHM 17(9)(a), 18(3)(e)(i)(a); MS 2424 kl. 4.6*</t>
        </is>
      </c>
      <c r="D35" s="7" t="inlineStr"/>
      <c r="E35" s="7" t="inlineStr"/>
      <c r="F35" t="inlineStr">
        <is>
          <t>B</t>
        </is>
      </c>
    </row>
    <row r="36">
      <c r="A36" s="7" t="inlineStr">
        <is>
          <t>B7</t>
        </is>
      </c>
      <c r="B36" s="7" t="inlineStr">
        <is>
          <t>HAS (besar/sederhana): Eksekutif Halal dilantik secara rasmi oleh pengurusan tertinggi di setiap cawangan premis, dengan huraian tugas bertulis, dan tugas lain yang diberikan kepadanya tidak menjejaskan tugas hakiki pengurusan halal.</t>
        </is>
      </c>
      <c r="C36" s="7" t="inlineStr">
        <is>
          <t>MPPHM 18(3)(e)(i)(b); MHMS 5(3), 7(1)</t>
        </is>
      </c>
      <c r="D36" s="7" t="inlineStr"/>
      <c r="E36" s="7" t="inlineStr"/>
      <c r="F36" t="inlineStr">
        <is>
          <t>B</t>
        </is>
      </c>
    </row>
    <row r="37">
      <c r="A37" s="7" t="inlineStr">
        <is>
          <t>B8</t>
        </is>
      </c>
      <c r="B37" s="7" t="inlineStr">
        <is>
          <t>HAS: Eksekutif Halal memenuhi kelayakan: Muslim, warganegara Malaysia, berjawatan tetap, memiliki Diploma Pengurusan Halal atau setaraf atau 5 tahun pengalaman pengurusan halal, serta memegang Sijil Eksekutif Halal daripada penyedia latihan yang berdaftar dengan HPB JAKIM.</t>
        </is>
      </c>
      <c r="C37" s="7" t="inlineStr">
        <is>
          <t>MPPHM 3; MHMS 5(3)</t>
        </is>
      </c>
      <c r="D37" s="7" t="inlineStr"/>
      <c r="E37" s="7" t="inlineStr"/>
      <c r="F37" t="inlineStr">
        <is>
          <t>B</t>
        </is>
      </c>
    </row>
    <row r="38">
      <c r="A38" s="7" t="inlineStr">
        <is>
          <t>B9</t>
        </is>
      </c>
      <c r="B38" s="7" t="inlineStr">
        <is>
          <t>HAS (besar/sederhana): JKHD ditubuhkan secara rasmi dan bertulis oleh pengurusan tertinggi bagi premis, dan juga bagi setiap cawangan yang mempunyai pengurusan operasi yang berbeza.</t>
        </is>
      </c>
      <c r="C38" s="7" t="inlineStr">
        <is>
          <t>MPPHM 3, 18(3)(e)(i)(c); MHMS 5(4)</t>
        </is>
      </c>
      <c r="D38" s="7" t="inlineStr"/>
      <c r="E38" s="7" t="inlineStr"/>
      <c r="F38" t="inlineStr">
        <is>
          <t>B</t>
        </is>
      </c>
    </row>
    <row r="39">
      <c r="A39" s="7" t="inlineStr">
        <is>
          <t>B10</t>
        </is>
      </c>
      <c r="B39" s="7" t="inlineStr">
        <is>
          <t>HAS: JKHD mempunyai sekurang-kurangnya 4 ahli berjawatan tetap (Pengerusi, Eksekutif Halal, wakil pembelian dan wakil pemprosesan) serta wakil R&amp;D. Setiap ahli mempunyai huraian tugas bertulis, dan carta organisasi JKHD tersedia.</t>
        </is>
      </c>
      <c r="C39" s="7" t="inlineStr">
        <is>
          <t>MHMS 5(4), 7(1)</t>
        </is>
      </c>
      <c r="D39" s="7" t="inlineStr"/>
      <c r="E39" s="7" t="inlineStr"/>
      <c r="F39" t="inlineStr">
        <is>
          <t>B</t>
        </is>
      </c>
    </row>
    <row r="40">
      <c r="A40" s="7" t="inlineStr">
        <is>
          <t>B11</t>
        </is>
      </c>
      <c r="B40" s="7" t="inlineStr">
        <is>
          <t>HAS: Pengerusi JKHD berjawatan setara atau lebih tinggi daripada Eksekutif Halal, kompeten tentang keperluan pensijilan halal, dan diutamakan seorang Muslim.</t>
        </is>
      </c>
      <c r="C40" s="7" t="inlineStr">
        <is>
          <t>MHMS 5(4)</t>
        </is>
      </c>
      <c r="D40" s="7" t="inlineStr"/>
      <c r="E40" s="7" t="inlineStr"/>
      <c r="F40" t="inlineStr">
        <is>
          <t>B</t>
        </is>
      </c>
    </row>
    <row r="41">
      <c r="A41" s="7" t="inlineStr">
        <is>
          <t>B12</t>
        </is>
      </c>
      <c r="B41" s="7" t="inlineStr">
        <is>
          <t>HAS: JKHD bermesyuarat sekurang-kurangnya 2 kali setahun dengan agenda halal, dan minit mesyuarat disimpan serta mudah dirujuk.</t>
        </is>
      </c>
      <c r="C41" s="7" t="inlineStr">
        <is>
          <t>MHMS 5(4)</t>
        </is>
      </c>
      <c r="D41" s="7" t="inlineStr"/>
      <c r="E41" s="7" t="inlineStr"/>
      <c r="F41" t="inlineStr">
        <is>
          <t>B</t>
        </is>
      </c>
    </row>
    <row r="42">
      <c r="A42" s="7" t="inlineStr">
        <is>
          <t>B13</t>
        </is>
      </c>
      <c r="B42" s="7" t="inlineStr">
        <is>
          <t>HAS: peranan, tanggungjawab dan terma rujukan JKHD dinyatakan dalam manual HAS, dan minit mesyuarat menunjukkan JKHD membuat keputusan pengurusan halal (cth. menyemak dan mengesahkan prosedur HAS, serta menetapkan polisi halal, senarai induk bahan mentah dan pelan pengurusan risiko halal).</t>
        </is>
      </c>
      <c r="C42" s="7" t="inlineStr">
        <is>
          <t>MHMS 5(4)(i), 5(4)(k), 5(4)(m), Lampiran C1, C2</t>
        </is>
      </c>
      <c r="D42" s="7" t="inlineStr"/>
      <c r="E42" s="7" t="inlineStr"/>
      <c r="F42" t="inlineStr">
        <is>
          <t>B</t>
        </is>
      </c>
    </row>
    <row r="43">
      <c r="A43" s="7" t="inlineStr">
        <is>
          <t>B14</t>
        </is>
      </c>
      <c r="B43" s="7" t="inlineStr">
        <is>
          <t>HAS: manual HAS dibangunkan berdasarkan operasi sebenar, didokumenkan berasingan daripada sistem lain (cth. dokumen GMP), dikemas kini apabila berlaku perubahan, dan diluluskan pengurusan tertinggi.</t>
        </is>
      </c>
      <c r="C43" s="7" t="inlineStr">
        <is>
          <t>MPPHM 17(13)(a), 18(3)(e)(i)(d), 20; MHMS 5(1)</t>
        </is>
      </c>
      <c r="D43" s="7" t="inlineStr"/>
      <c r="E43" s="7" t="inlineStr"/>
      <c r="F43" t="inlineStr">
        <is>
          <t>B</t>
        </is>
      </c>
    </row>
    <row r="44">
      <c r="A44" s="7" t="inlineStr">
        <is>
          <t>B15</t>
        </is>
      </c>
      <c r="B44" s="7" t="inlineStr">
        <is>
          <t>HAS: manual mengandungi profil syarikat, objektif, skop, polisi halal, JKHD dan 8 prosedur, iaitu audit halal dalaman, kawalan risiko halal, kawalan bahan mentah, latihan halal, kebolehkesanan, semakan HAS, analisis makmal dan sertu. Setiap prosedur menyatakan tarikh berkuat kuasa, tarikh kemas kini, penyedia dan pengesahnya.</t>
        </is>
      </c>
      <c r="C44" s="7" t="inlineStr">
        <is>
          <t>MHMS 5(1)</t>
        </is>
      </c>
      <c r="D44" s="7" t="inlineStr"/>
      <c r="E44" s="7" t="inlineStr"/>
      <c r="F44" t="inlineStr">
        <is>
          <t>B</t>
        </is>
      </c>
    </row>
    <row r="45">
      <c r="A45" s="7" t="inlineStr">
        <is>
          <t>B16</t>
        </is>
      </c>
      <c r="B45" s="7" t="inlineStr">
        <is>
          <t>HAS: carta alir disediakan bagi setiap aliran pemprosesan yang berbeza (cth. tablet, kapsul keras, softgel, cecair/sirap, krim/salap dan pengekstrakan herba), dan HCP ditanda pada carta alir serta pelan lantai.</t>
        </is>
      </c>
      <c r="C45" s="7" t="inlineStr">
        <is>
          <t>MHMS 5(6), 7(1)</t>
        </is>
      </c>
      <c r="D45" s="7" t="inlineStr"/>
      <c r="E45" s="7" t="inlineStr"/>
      <c r="F45" t="inlineStr">
        <is>
          <t>B</t>
        </is>
      </c>
    </row>
    <row r="46">
      <c r="A46" s="7" t="inlineStr">
        <is>
          <t>B17</t>
        </is>
      </c>
      <c r="B46" s="7" t="inlineStr">
        <is>
          <t>HAS: HCP dikenal pasti bagi R&amp;D, produk, pemprosesan, premis dan peralatan, pekerja, pembungkusan, penyimpanan dan pengangkutan (cth. penerimaan gelatin dan kapsul, penggunaan pelarut etanol, talian yang dikongsi, dan pembersihan).</t>
        </is>
      </c>
      <c r="C46" s="7" t="inlineStr">
        <is>
          <t>MHMS 5(6); MS 2424 kl. 4.3*</t>
        </is>
      </c>
      <c r="D46" s="7" t="inlineStr"/>
      <c r="E46" s="7" t="inlineStr"/>
      <c r="F46" t="inlineStr">
        <is>
          <t>B</t>
        </is>
      </c>
    </row>
    <row r="47">
      <c r="A47" s="7" t="inlineStr">
        <is>
          <t>B18</t>
        </is>
      </c>
      <c r="B47" s="7" t="inlineStr">
        <is>
          <t>HAS: pelan pengurusan risiko halal bagi setiap HCP menyatakan risiko halal, kaedah kawalan, kekerapan, PIC, tindakan pembetulan dan rekod. Pelan ini dibangunkan khusus untuk halal dan diasingkan daripada sistem lain (cth. dokumen GMP dan pengurusan risiko kualiti).</t>
        </is>
      </c>
      <c r="C47" s="7" t="inlineStr">
        <is>
          <t>MHMS 5(6)</t>
        </is>
      </c>
      <c r="D47" s="7" t="inlineStr"/>
      <c r="E47" s="7" t="inlineStr"/>
      <c r="F47" t="inlineStr">
        <is>
          <t>B</t>
        </is>
      </c>
    </row>
    <row r="48">
      <c r="A48" s="7" t="inlineStr">
        <is>
          <t>B19</t>
        </is>
      </c>
      <c r="B48" s="7" t="inlineStr">
        <is>
          <t>HAS: audit halal dalaman dibuat sekurang-kurangnya sekali setahun di setiap cawangan premis oleh juruaudit yang dilantik JKHD dan memegang Sijil Audit Halal Dalaman atau Sijil Eksekutif Halal.</t>
        </is>
      </c>
      <c r="C48" s="7" t="inlineStr">
        <is>
          <t>MHMS 5(5)</t>
        </is>
      </c>
      <c r="D48" s="7" t="inlineStr"/>
      <c r="E48" s="7" t="inlineStr"/>
      <c r="F48" t="inlineStr">
        <is>
          <t>B</t>
        </is>
      </c>
    </row>
    <row r="49">
      <c r="A49" s="7" t="inlineStr">
        <is>
          <t>B20</t>
        </is>
      </c>
      <c r="B49" s="7" t="inlineStr">
        <is>
          <t>HAS: jika audit halal dalaman dilaksanakan oleh pihak ketiga bagi pihak syarikat, juruaudit pihak ketiga itu memegang Sijil Audit Halal Dalaman (Internal Halal Auditing) daripada PLH yang berdaftar dengan HPB JAKIM.</t>
        </is>
      </c>
      <c r="C49" s="7" t="inlineStr">
        <is>
          <t>MHMS 5(5)(i), 5(5)(j)</t>
        </is>
      </c>
      <c r="D49" s="7" t="inlineStr"/>
      <c r="E49" s="7" t="inlineStr"/>
      <c r="F49" t="inlineStr">
        <is>
          <t>B</t>
        </is>
      </c>
    </row>
    <row r="50">
      <c r="A50" s="7" t="inlineStr">
        <is>
          <t>B21</t>
        </is>
      </c>
      <c r="B50" s="7" t="inlineStr">
        <is>
          <t>HAS: skop audit halal dalaman merangkumi pematuhan terhadap prosedur Pensijilan Halal Malaysia dan setiap HCP, dan JKHD menilai keberkesanan serta kekerapan audit supaya ketidakakuran yang sama tidak berulang.</t>
        </is>
      </c>
      <c r="C50" s="7" t="inlineStr">
        <is>
          <t>MHMS 5(5)(e), 5(5)(h)</t>
        </is>
      </c>
      <c r="D50" s="7" t="inlineStr"/>
      <c r="E50" s="7" t="inlineStr"/>
      <c r="F50" t="inlineStr">
        <is>
          <t>B</t>
        </is>
      </c>
    </row>
    <row r="51">
      <c r="A51" s="7" t="inlineStr">
        <is>
          <t>B22</t>
        </is>
      </c>
      <c r="B51" s="7" t="inlineStr">
        <is>
          <t>HAS: laporan dan senarai semak audit halal dalaman direkod, disimpan dan dibentangkan kepada JKHD. Tindakan pembetulan bagi setiap ketidakakuran diambil dengan segera dan disahkan oleh JKHD (prosedur contoh dalam Lampiran D MHMS menetapkan 14 hari atau tempoh yang dipersetujui antara juruaudit dan auditee).</t>
        </is>
      </c>
      <c r="C51" s="7" t="inlineStr">
        <is>
          <t>MHMS 5(5)(f), 5(5)(g), 5(5)(l), Lampiran D</t>
        </is>
      </c>
      <c r="D51" s="7" t="inlineStr"/>
      <c r="E51" s="7" t="inlineStr"/>
      <c r="F51" t="inlineStr">
        <is>
          <t>B</t>
        </is>
      </c>
    </row>
    <row r="52">
      <c r="A52" s="7" t="inlineStr">
        <is>
          <t>B23</t>
        </is>
      </c>
      <c r="B52" s="7" t="inlineStr">
        <is>
          <t>HAS: semakan HAS dibuat sekurang-kurangnya sekali setahun oleh JKHD bersama pengurusan tertinggi untuk menilai keberkesanan HAS dan keupayaan ahli JKHD, dan keputusannya disahkan secara bertulis.</t>
        </is>
      </c>
      <c r="C52" s="7" t="inlineStr">
        <is>
          <t>MHMS 5(10)</t>
        </is>
      </c>
      <c r="D52" s="7" t="inlineStr"/>
      <c r="E52" s="7" t="inlineStr"/>
      <c r="F52" t="inlineStr">
        <is>
          <t>B</t>
        </is>
      </c>
    </row>
    <row r="53">
      <c r="A53" s="7" t="inlineStr">
        <is>
          <t>B24</t>
        </is>
      </c>
      <c r="B53" s="7" t="inlineStr">
        <is>
          <t>HAS: prosedur sertu bertulis tersedia, selaras dengan Garis Panduan Sertu Menurut Perspektif Islam (JAKIM) dan ketetapan pihak berkuasa agama negeri.</t>
        </is>
      </c>
      <c r="C53" s="7" t="inlineStr">
        <is>
          <t>MHMS 5(12); MPPHM 58; MS 2424 Lampiran A*</t>
        </is>
      </c>
      <c r="D53" s="7" t="inlineStr"/>
      <c r="E53" s="7" t="inlineStr"/>
      <c r="F53" t="inlineStr">
        <is>
          <t>B</t>
        </is>
      </c>
    </row>
    <row r="54">
      <c r="A54" s="7" t="inlineStr">
        <is>
          <t>B25</t>
        </is>
      </c>
      <c r="B54" s="7" t="inlineStr">
        <is>
          <t>IHCS (kecil/mikro): sekurang-kurangnya 1 pekerja Muslim warganegara Malaysia berjawatan tetap dilantik dan bertugas di kawasan pemprosesan sepanjang tempoh operasi atau syif.</t>
        </is>
      </c>
      <c r="C54" s="7" t="inlineStr">
        <is>
          <t>MPPHM 17(9)(a), 18(3)(e)(ii)(a), 18(3)(e)(iii)(a)</t>
        </is>
      </c>
      <c r="D54" s="7" t="inlineStr"/>
      <c r="E54" s="7" t="inlineStr"/>
      <c r="F54" t="inlineStr">
        <is>
          <t>B</t>
        </is>
      </c>
    </row>
    <row r="55">
      <c r="A55" s="7" t="inlineStr">
        <is>
          <t>B26</t>
        </is>
      </c>
      <c r="B55" s="7" t="inlineStr">
        <is>
          <t>IHCS (kecil): Penyelia Halal (Muslim, warganegara Malaysia, berjawatan tetap) dilantik secara bertulis dan menyelia kawasan pemprosesan.</t>
        </is>
      </c>
      <c r="C55" s="7" t="inlineStr">
        <is>
          <t>MPPHM 3, 18(3)(e)(ii)(b)</t>
        </is>
      </c>
      <c r="D55" s="7" t="inlineStr"/>
      <c r="E55" s="7" t="inlineStr"/>
      <c r="F55" t="inlineStr">
        <is>
          <t>B</t>
        </is>
      </c>
    </row>
    <row r="56">
      <c r="A56" s="7" t="inlineStr">
        <is>
          <t>B27</t>
        </is>
      </c>
      <c r="B56" s="7" t="inlineStr">
        <is>
          <t>IHCS (kecil/mikro): manual IHCS mengandungi polisi halal, prosedur kawalan bahan mentah dan prosedur kebolehkesanan, dan prosedur tersebut dilaksanakan.</t>
        </is>
      </c>
      <c r="C56" s="7" t="inlineStr">
        <is>
          <t>MPPHM 17(13)(a), 18(3)(e)(ii)(c), 18(3)(e)(iii)(b), 19; MHMS 6, 7(1)</t>
        </is>
      </c>
      <c r="D56" s="7" t="inlineStr"/>
      <c r="E56" s="7" t="inlineStr"/>
      <c r="F56" t="inlineStr">
        <is>
          <t>B</t>
        </is>
      </c>
    </row>
    <row r="57">
      <c r="A57" s="7" t="inlineStr">
        <is>
          <t>B28</t>
        </is>
      </c>
      <c r="B57" s="7" t="inlineStr">
        <is>
          <t>Kawalan perubahan (change control) menilai kesan halal bagi setiap perubahan bahan, pembekal, formulasi, proses, peralatan atau premis, dan Eksekutif/Penyelia Halal terlibat dalam kelulusannya.</t>
        </is>
      </c>
      <c r="C57" s="7" t="inlineStr">
        <is>
          <t>MS 2424 kl. 4.1*; PIC/S GMP Bab 1; MHMS 5(7)</t>
        </is>
      </c>
      <c r="D57" s="7" t="inlineStr"/>
      <c r="E57" s="7" t="inlineStr"/>
      <c r="F57" t="inlineStr">
        <is>
          <t>B</t>
        </is>
      </c>
    </row>
    <row r="58">
      <c r="A58" s="7" t="inlineStr">
        <is>
          <t>B29</t>
        </is>
      </c>
      <c r="B58" s="7" t="inlineStr">
        <is>
          <t>Sisihan (deviation) dan CAPA yang melibatkan isu halal direkod, disiasat, dan dimaklumkan kepada Eksekutif/Penyelia Halal atau JKHD.</t>
        </is>
      </c>
      <c r="C58" s="7" t="inlineStr">
        <is>
          <t>PIC/S GMP Bab 1; MS 2424 kl. 4.3*; MHMS 5(4)</t>
        </is>
      </c>
      <c r="D58" s="7" t="inlineStr"/>
      <c r="E58" s="7" t="inlineStr"/>
      <c r="F58" t="inlineStr">
        <is>
          <t>B</t>
        </is>
      </c>
    </row>
    <row r="59">
      <c r="A59" s="7" t="inlineStr">
        <is>
          <t>B30</t>
        </is>
      </c>
      <c r="B59" s="7" t="inlineStr">
        <is>
          <t>Ada rekod (cth. semakan berkala oleh Eksekutif/Penyelia Halal) yang menunjukkan pemantauan berterusan terhadap pelaksanaan kawalan halal.</t>
        </is>
      </c>
      <c r="C59" s="7" t="inlineStr">
        <is>
          <t>MPPHM 17(13)(b)</t>
        </is>
      </c>
      <c r="D59" s="7" t="inlineStr"/>
      <c r="E59" s="7" t="inlineStr"/>
      <c r="F59" t="inlineStr">
        <is>
          <t>B</t>
        </is>
      </c>
    </row>
    <row r="60">
      <c r="A60" s="7" t="inlineStr">
        <is>
          <t>B31</t>
        </is>
      </c>
      <c r="B60" s="7" t="inlineStr">
        <is>
          <t>Salinan pekeliling, garis panduan dan fatwa halal terkini yang berkaitan (termasuk fatwa tentang alkohol dan ubat-ubatan) disimpan, dan perubahan yang dikehendaki telah dilaksanakan.</t>
        </is>
      </c>
      <c r="C60" s="7" t="inlineStr">
        <is>
          <t>MPPHM 17(16)(b); MHMS 5(1)</t>
        </is>
      </c>
      <c r="D60" s="7" t="inlineStr"/>
      <c r="E60" s="7" t="inlineStr"/>
      <c r="F60" t="inlineStr">
        <is>
          <t>B</t>
        </is>
      </c>
    </row>
    <row r="61">
      <c r="A61" s="4" t="inlineStr">
        <is>
          <t>Bahagian C: Premis &amp; Persekitaran</t>
        </is>
      </c>
      <c r="B61" s="5" t="n"/>
      <c r="C61" s="5" t="n"/>
      <c r="D61" s="5" t="n"/>
      <c r="E61" s="6" t="n"/>
    </row>
    <row r="62" ht="26" customHeight="1">
      <c r="A62" s="2" t="inlineStr">
        <is>
          <t>Dengan merujuk pelan lantai, berjalan dari kawasan luar dan pagar ke bangunan kilang, kawasan pengilangan, kawasan sokongan (bilik persalinan, ruang rehat, kantin), rumah haiwan makmal dan tempat tinggal pekerja (jika ada).</t>
        </is>
      </c>
    </row>
    <row r="63">
      <c r="A63" s="7" t="inlineStr">
        <is>
          <t>C1</t>
        </is>
      </c>
      <c r="B63" s="7" t="inlineStr">
        <is>
          <t>Kawasan sekeliling premis dikawal daripada sumber pencemaran tidak halal (cth. ladang ternakan babi, premis pemprosesan tidak halal yang bersebelahan, atau loji kumbahan), dan langkah kawalannya didokumenkan.</t>
        </is>
      </c>
      <c r="C63" s="7" t="inlineStr">
        <is>
          <t>MPPHM 17(8)(b)</t>
        </is>
      </c>
      <c r="D63" s="7" t="inlineStr"/>
      <c r="E63" s="7" t="inlineStr"/>
      <c r="F63" t="inlineStr">
        <is>
          <t>C</t>
        </is>
      </c>
    </row>
    <row r="64">
      <c r="A64" s="7" t="inlineStr">
        <is>
          <t>C2</t>
        </is>
      </c>
      <c r="B64" s="7" t="inlineStr">
        <is>
          <t>Premis berpagar atau dikawal daripada haiwan peliharaan dan haiwan liar, serangga dan perosak. Tiada anjing (termasuk anjing pengawal keselamatan) dipelihara atau berkeliaran di kawasan premis.</t>
        </is>
      </c>
      <c r="C64" s="7" t="inlineStr">
        <is>
          <t>MPPHM 17(8)(a), 17(8)(c); PIC/S GMP Bab 3</t>
        </is>
      </c>
      <c r="D64" s="7" t="inlineStr"/>
      <c r="E64" s="7" t="inlineStr"/>
      <c r="F64" t="inlineStr">
        <is>
          <t>C</t>
        </is>
      </c>
    </row>
    <row r="65">
      <c r="A65" s="7" t="inlineStr">
        <is>
          <t>C3</t>
        </is>
      </c>
      <c r="B65" s="7" t="inlineStr">
        <is>
          <t>Seluruh premis, termasuk pejabat, kantin, pantri dan tempat tinggal pekerja, bebas daripada bahan dan produk tidak halal.</t>
        </is>
      </c>
      <c r="C65" s="7" t="inlineStr">
        <is>
          <t>MPPHM 17(8)(a); MS 2424 kl. 4.9*</t>
        </is>
      </c>
      <c r="D65" s="7" t="inlineStr"/>
      <c r="E65" s="7" t="inlineStr"/>
      <c r="F65" t="inlineStr">
        <is>
          <t>C</t>
        </is>
      </c>
    </row>
    <row r="66">
      <c r="A66" s="7" t="inlineStr">
        <is>
          <t>C4</t>
        </is>
      </c>
      <c r="B66" s="7" t="inlineStr">
        <is>
          <t>Jika premis berkongsi bangunan atau kemudahan dengan pihak lain (cth. dok pemunggahan, sistem pengendalian udara atau sistem air), aktiviti tidak halal pihak tersebut tidak menimbulkan risiko pencemaran kepada premis.</t>
        </is>
      </c>
      <c r="C66" s="7" t="inlineStr">
        <is>
          <t>MPPHM 17(8)(b); PIC/S GMP Bab 3</t>
        </is>
      </c>
      <c r="D66" s="7" t="inlineStr"/>
      <c r="E66" s="7" t="inlineStr"/>
      <c r="F66" t="inlineStr">
        <is>
          <t>C</t>
        </is>
      </c>
    </row>
    <row r="67">
      <c r="A67" s="7" t="inlineStr">
        <is>
          <t>C5</t>
        </is>
      </c>
      <c r="B67" s="7" t="inlineStr">
        <is>
          <t>Pelan lantai terkini tersedia. Susun atur kawasan pengilangan dan penyimpanan serta aliran bahan dan personel mencegah pencemaran silang dan campur aduk, dan memudahkan pembersihan.</t>
        </is>
      </c>
      <c r="C67" s="7" t="inlineStr">
        <is>
          <t>MPPHM 17(8)(j); MS 2424 kl. 4.10*; PKDK 1984 per. 20(1); PIC/S GMP Bab 3</t>
        </is>
      </c>
      <c r="D67" s="7" t="inlineStr"/>
      <c r="E67" s="7" t="inlineStr"/>
      <c r="F67" t="inlineStr">
        <is>
          <t>C</t>
        </is>
      </c>
    </row>
    <row r="68">
      <c r="A68" s="7" t="inlineStr">
        <is>
          <t>C6</t>
        </is>
      </c>
      <c r="B68" s="7" t="inlineStr">
        <is>
          <t>Premis dalam keadaan baik, bersih dan teratur, termasuk lantai, dinding, siling, kipas, penghawa dingin, tingkap dan pintu.</t>
        </is>
      </c>
      <c r="C68" s="7" t="inlineStr">
        <is>
          <t>MPPHM 17(8)(d), 17(8)(e); PKDK 1984 per. 20(3)</t>
        </is>
      </c>
      <c r="D68" s="7" t="inlineStr"/>
      <c r="E68" s="7" t="inlineStr"/>
      <c r="F68" t="inlineStr">
        <is>
          <t>C</t>
        </is>
      </c>
    </row>
    <row r="69">
      <c r="A69" s="7" t="inlineStr">
        <is>
          <t>C7</t>
        </is>
      </c>
      <c r="B69" s="7" t="inlineStr">
        <is>
          <t>Pengudaraan dan pencahayaan mencukupi, dan lampu di kawasan pemprosesan bersih, berfungsi dan bertutup.</t>
        </is>
      </c>
      <c r="C69" s="7" t="inlineStr">
        <is>
          <t>MPPHM 17(8)(g), 17(8)(h)</t>
        </is>
      </c>
      <c r="D69" s="7" t="inlineStr"/>
      <c r="E69" s="7" t="inlineStr"/>
      <c r="F69" t="inlineStr">
        <is>
          <t>C</t>
        </is>
      </c>
    </row>
    <row r="70">
      <c r="A70" s="7" t="inlineStr">
        <is>
          <t>C8</t>
        </is>
      </c>
      <c r="B70" s="7" t="inlineStr">
        <is>
          <t>Sistem perparitan bersih dan tidak tersumbat.</t>
        </is>
      </c>
      <c r="C70" s="7" t="inlineStr">
        <is>
          <t>MPPHM 17(8)(l)</t>
        </is>
      </c>
      <c r="D70" s="7" t="inlineStr"/>
      <c r="E70" s="7" t="inlineStr"/>
      <c r="F70" t="inlineStr">
        <is>
          <t>C</t>
        </is>
      </c>
    </row>
    <row r="71">
      <c r="A71" s="7" t="inlineStr">
        <is>
          <t>C9</t>
        </is>
      </c>
      <c r="B71" s="7" t="inlineStr">
        <is>
          <t>Tiada alat atau unsur penyembahan di kawasan pemprosesan.</t>
        </is>
      </c>
      <c r="C71" s="7" t="inlineStr">
        <is>
          <t>MPPHM 17(15)</t>
        </is>
      </c>
      <c r="D71" s="7" t="inlineStr"/>
      <c r="E71" s="7" t="inlineStr"/>
      <c r="F71" t="inlineStr">
        <is>
          <t>C</t>
        </is>
      </c>
    </row>
    <row r="72">
      <c r="A72" s="7" t="inlineStr">
        <is>
          <t>C10</t>
        </is>
      </c>
      <c r="B72" s="7" t="inlineStr">
        <is>
          <t>Kawasan sokongan (bilik persalinan, ruang rehat dan kantin) diasingkan daripada kawasan pengilangan, dan bilik persalinan menjadi laluan masuk yang terkawal ke kawasan pengilangan.</t>
        </is>
      </c>
      <c r="C72" s="7" t="inlineStr">
        <is>
          <t>MS 2424 kl. 4.13*; PIC/S GMP Bab 3</t>
        </is>
      </c>
      <c r="D72" s="7" t="inlineStr"/>
      <c r="E72" s="7" t="inlineStr"/>
      <c r="F72" t="inlineStr">
        <is>
          <t>C</t>
        </is>
      </c>
    </row>
    <row r="73">
      <c r="A73" s="7" t="inlineStr">
        <is>
          <t>C11</t>
        </is>
      </c>
      <c r="B73" s="7" t="inlineStr">
        <is>
          <t>Rumah haiwan makmal (jika ada, cth. untuk ujian pirogen atau ujian potensi vaksin) diasingkan daripada kawasan pengilangan dengan pintu masuk dan sistem pengendalian udara yang berasingan, dan tiada anjing, babi atau keturunannya ditempatkan di premis.</t>
        </is>
      </c>
      <c r="C73" s="7" t="inlineStr">
        <is>
          <t>PIC/S GMP Bab 3, Bab 6; MPPHM 17(8)(a), 17(8)(c)</t>
        </is>
      </c>
      <c r="D73" s="7" t="inlineStr"/>
      <c r="E73" s="7" t="inlineStr"/>
      <c r="F73" t="inlineStr">
        <is>
          <t>C</t>
        </is>
      </c>
    </row>
    <row r="74">
      <c r="A74" s="7" t="inlineStr">
        <is>
          <t>C12</t>
        </is>
      </c>
      <c r="B74" s="7" t="inlineStr">
        <is>
          <t>Tempat tinggal pekerja (jika ada) berada di bangunan yang berasingan. Jika berada dalam bangunan yang sama, ia mempunyai pintu masuk berasingan, tiada laluan terus ke kawasan pemprosesan, dan akses dikawal.</t>
        </is>
      </c>
      <c r="C74" s="7" t="inlineStr">
        <is>
          <t>MPPHM 17(8)(k)</t>
        </is>
      </c>
      <c r="D74" s="7" t="inlineStr"/>
      <c r="E74" s="7" t="inlineStr"/>
      <c r="F74" t="inlineStr">
        <is>
          <t>C</t>
        </is>
      </c>
    </row>
    <row r="75">
      <c r="A75" s="7" t="inlineStr">
        <is>
          <t>C13</t>
        </is>
      </c>
      <c r="B75" s="7" t="inlineStr">
        <is>
          <t>Sertu telah dibuat dan direkodkan jika premis atau stor pernah tercemar najis mughallazah (cth. premis yang sebelum ini digunakan untuk produk bersumber babi).</t>
        </is>
      </c>
      <c r="C75" s="7" t="inlineStr">
        <is>
          <t>MPPHM 17(4)(j), 17(8)(n); MHMS 5(12); MS 2424 Lampiran A*</t>
        </is>
      </c>
      <c r="D75" s="7" t="inlineStr"/>
      <c r="E75" s="7" t="inlineStr"/>
      <c r="F75" t="inlineStr">
        <is>
          <t>C</t>
        </is>
      </c>
    </row>
    <row r="76">
      <c r="A76" s="4" t="inlineStr">
        <is>
          <t>Bahagian D: Bahan Mentah, Bahan Aktif, Eksipien &amp; Pembekal</t>
        </is>
      </c>
      <c r="B76" s="5" t="n"/>
      <c r="C76" s="5" t="n"/>
      <c r="D76" s="5" t="n"/>
      <c r="E76" s="6" t="n"/>
    </row>
    <row r="77" ht="26" customHeight="1">
      <c r="A77" s="2" t="inlineStr">
        <is>
          <t>Semak senarai induk bahan mentah serta sijil halal dan dokumen sokongan setiap bahan (bahan aktif, eksipien, cangkerang kapsul, pelarut, perisa dan bahan bantu pemprosesan), kemudian padankan dengan bahan sebenar di gudang dan dalam rekod kelompok.</t>
        </is>
      </c>
    </row>
    <row r="78">
      <c r="A78" s="7" t="inlineStr">
        <is>
          <t>D1</t>
        </is>
      </c>
      <c r="B78" s="7" t="inlineStr">
        <is>
          <t>Prosedur kawalan bahan mentah dan barang dagangan (jika ada) bertulis meliputi pembelian, penerimaan dan penyimpanan. Prosedur ini memastikan tiada bahan yang diragui status halalnya digunakan atau disimpan, setiap penggunaan dan perubahan bahan diisytiharkan kepada pihak berkuasa, dan rekodnya boleh diperiksa.</t>
        </is>
      </c>
      <c r="C78" s="7" t="inlineStr">
        <is>
          <t>MHMS 5(7)(a), 5(7)(b), 6</t>
        </is>
      </c>
      <c r="D78" s="7" t="inlineStr"/>
      <c r="E78" s="7" t="inlineStr"/>
      <c r="F78" t="inlineStr">
        <is>
          <t>D</t>
        </is>
      </c>
    </row>
    <row r="79">
      <c r="A79" s="7" t="inlineStr">
        <is>
          <t>D2</t>
        </is>
      </c>
      <c r="B79" s="7" t="inlineStr">
        <is>
          <t>Senarai induk bahan mentah meliputi semua bahan: bahan aktif, eksipien, cangkerang kapsul, pelarut, bahan salutan, perisa, pewarna dan bahan bantu pemprosesan. Lajurnya ialah nama bahan, nama saintifik/kod/nama dagangan, sumber, nama dan alamat pengeluar, status pengisytiharan, badan pensijilan halal dan tarikh tamat sijil, dokumen sokongan, dan catatan.</t>
        </is>
      </c>
      <c r="C79" s="7" t="inlineStr">
        <is>
          <t>MHMS 5(7) (Lampiran J)</t>
        </is>
      </c>
      <c r="D79" s="7" t="inlineStr"/>
      <c r="E79" s="7" t="inlineStr"/>
      <c r="F79" t="inlineStr">
        <is>
          <t>D</t>
        </is>
      </c>
    </row>
    <row r="80">
      <c r="A80" s="7" t="inlineStr">
        <is>
          <t>D3</t>
        </is>
      </c>
      <c r="B80" s="7" t="inlineStr">
        <is>
          <t>Senarai induk dikemas kini setiap kali ada perubahan dan mudah dicapai (bercetak atau digital). Bahan dalam senarai induk sepadan dengan bahan yang diisytiharkan dalam MYeHALAL, dengan butiran yang sama seperti pada label.</t>
        </is>
      </c>
      <c r="C80" s="7" t="inlineStr">
        <is>
          <t>MHMS 5(7); MPPHM 17(1)(g)</t>
        </is>
      </c>
      <c r="D80" s="7" t="inlineStr"/>
      <c r="E80" s="7" t="inlineStr"/>
      <c r="F80" t="inlineStr">
        <is>
          <t>D</t>
        </is>
      </c>
    </row>
    <row r="81">
      <c r="A81" s="7" t="inlineStr">
        <is>
          <t>D4</t>
        </is>
      </c>
      <c r="B81" s="7" t="inlineStr">
        <is>
          <t>Setiap bahan mentah halal, selamat dan tidak tercemar.</t>
        </is>
      </c>
      <c r="C81" s="7" t="inlineStr">
        <is>
          <t>MPPHM 17(1)(a); MS 2424 kl. 4.16*</t>
        </is>
      </c>
      <c r="D81" s="7" t="inlineStr"/>
      <c r="E81" s="7" t="inlineStr"/>
      <c r="F81" t="inlineStr">
        <is>
          <t>D</t>
        </is>
      </c>
    </row>
    <row r="82">
      <c r="A82" s="7" t="inlineStr">
        <is>
          <t>D5</t>
        </is>
      </c>
      <c r="B82" s="7" t="inlineStr">
        <is>
          <t>Bahan bersumber haiwan mempunyai sijil halal yang sah daripada JAKIM/JAIN/MAIN atau badan pensijilan halal luar negara yang diiktiraf JAKIM, dan kesahihan sijil disemak (cth. dengan senarai badan pensijilan yang diiktiraf).</t>
        </is>
      </c>
      <c r="C82" s="7" t="inlineStr">
        <is>
          <t>MPPHM 17(1)(b)</t>
        </is>
      </c>
      <c r="D82" s="7" t="inlineStr"/>
      <c r="E82" s="7" t="inlineStr"/>
      <c r="F82" t="inlineStr">
        <is>
          <t>D</t>
        </is>
      </c>
    </row>
    <row r="83">
      <c r="A83" s="7" t="inlineStr">
        <is>
          <t>D6</t>
        </is>
      </c>
      <c r="B83" s="7" t="inlineStr">
        <is>
          <t>Bahan bersumber haiwan yang diimport datang daripada loji sembelihan atau pemprosesan yang diluluskan JPV (jika berkaitan).</t>
        </is>
      </c>
      <c r="C83" s="7" t="inlineStr">
        <is>
          <t>MPPHM 17(1)(c)</t>
        </is>
      </c>
      <c r="D83" s="7" t="inlineStr"/>
      <c r="E83" s="7" t="inlineStr"/>
      <c r="F83" t="inlineStr">
        <is>
          <t>D</t>
        </is>
      </c>
    </row>
    <row r="84">
      <c r="A84" s="7" t="inlineStr">
        <is>
          <t>D7</t>
        </is>
      </c>
      <c r="B84" s="7" t="inlineStr">
        <is>
          <t>Bahan tanpa sijil halal, atau dengan sijil daripada badan yang tidak diiktiraf, mempunyai dokumen sokongan yang lengkap: komposisi bahan, carta alir pemprosesan dan sumber bahan mentah.</t>
        </is>
      </c>
      <c r="C84" s="7" t="inlineStr">
        <is>
          <t>MPPHM 17(1)(d)</t>
        </is>
      </c>
      <c r="D84" s="7" t="inlineStr"/>
      <c r="E84" s="7" t="inlineStr"/>
      <c r="F84" t="inlineStr">
        <is>
          <t>D</t>
        </is>
      </c>
    </row>
    <row r="85">
      <c r="A85" s="7" t="inlineStr">
        <is>
          <t>D8</t>
        </is>
      </c>
      <c r="B85" s="7" t="inlineStr">
        <is>
          <t>Pengeluar asal setiap bahan dapat dikenal pasti (bukan hanya nama pengedar tempatan), dan label pada bekas bahan jelas, mudah difahami serta menunjukkan nama bahan dan pengeluarnya.</t>
        </is>
      </c>
      <c r="C85" s="7" t="inlineStr">
        <is>
          <t>MPPHM 17(1)(e), 17(1)(h)</t>
        </is>
      </c>
      <c r="D85" s="7" t="inlineStr"/>
      <c r="E85" s="7" t="inlineStr"/>
      <c r="F85" t="inlineStr">
        <is>
          <t>D</t>
        </is>
      </c>
    </row>
    <row r="86">
      <c r="A86" s="7" t="inlineStr">
        <is>
          <t>D9</t>
        </is>
      </c>
      <c r="B86" s="7" t="inlineStr">
        <is>
          <t>Bahan yang melalui pemprosesan kedua oleh pihak ketiga (cth. eksipien yang dibungkus semula oleh pengedar, premiks salutan filem atau campuran herba) mempunyai sijil halal yang sah.</t>
        </is>
      </c>
      <c r="C86" s="7" t="inlineStr">
        <is>
          <t>MPPHM 17(1)(f)</t>
        </is>
      </c>
      <c r="D86" s="7" t="inlineStr"/>
      <c r="E86" s="7" t="inlineStr"/>
      <c r="F86" t="inlineStr">
        <is>
          <t>D</t>
        </is>
      </c>
    </row>
    <row r="87">
      <c r="A87" s="7" t="inlineStr">
        <is>
          <t>D10</t>
        </is>
      </c>
      <c r="B87" s="7" t="inlineStr">
        <is>
          <t>Kelayakan pembekal merangkumi kriteria halal: status halal bahan atau pembekal baharu (termasuk pembekal alternatif) dinilai, dan bahan atau pembekal itu diluluskan oleh Eksekutif/Penyelia Halal sebelum pesanan pembelian pertama.</t>
        </is>
      </c>
      <c r="C87" s="7" t="inlineStr">
        <is>
          <t>MHMS 5(7); PIC/S GMP Bab 5; MS 2424 kl. 4.16*</t>
        </is>
      </c>
      <c r="D87" s="7" t="inlineStr"/>
      <c r="E87" s="7" t="inlineStr"/>
      <c r="F87" t="inlineStr">
        <is>
          <t>D</t>
        </is>
      </c>
    </row>
    <row r="88">
      <c r="A88" s="7" t="inlineStr">
        <is>
          <t>D11</t>
        </is>
      </c>
      <c r="B88" s="7" t="inlineStr">
        <is>
          <t>Tarikh tamat sijil halal bahan dipantau, dan sijil baharu diperoleh sebelum sijil lama tamat tempoh. Bahan yang sijilnya telah tamat tempoh tidak diterima.</t>
        </is>
      </c>
      <c r="C88" s="7" t="inlineStr">
        <is>
          <t>MHMS 5(7)</t>
        </is>
      </c>
      <c r="D88" s="7" t="inlineStr"/>
      <c r="E88" s="7" t="inlineStr"/>
      <c r="F88" t="inlineStr">
        <is>
          <t>D</t>
        </is>
      </c>
    </row>
    <row r="89">
      <c r="A89" s="7" t="inlineStr">
        <is>
          <t>D12</t>
        </is>
      </c>
      <c r="B89" s="7" t="inlineStr">
        <is>
          <t>Audit pembekal (termasuk aspek halal) dibuat apabila perlu, contohnya bagi bahan kritikal yang tiada sijil halal.</t>
        </is>
      </c>
      <c r="C89" s="7" t="inlineStr">
        <is>
          <t>MHMS 5(5); PIC/S GMP Bab 5</t>
        </is>
      </c>
      <c r="D89" s="7" t="inlineStr"/>
      <c r="E89" s="7" t="inlineStr"/>
      <c r="F89" t="inlineStr">
        <is>
          <t>D</t>
        </is>
      </c>
    </row>
    <row r="90">
      <c r="A90" s="7" t="inlineStr">
        <is>
          <t>D13</t>
        </is>
      </c>
      <c r="B90" s="7" t="inlineStr">
        <is>
          <t>Tiada bahan aktif bersumber babi atau anjing digunakan (cth. heparin dan heparin berat molekul rendah seperti enoxaparin, pankreatin/pankrelipase babi, insulin babi, atau pepsin dan tripsin babi). Produk yang mengandungi bahan sedemikian tidak layak disijilkan.</t>
        </is>
      </c>
      <c r="C90" s="7" t="inlineStr">
        <is>
          <t>MPPHM 6(1); MS 2424 kl. 4.4*; Perintah Takrif Halal 2011 perenggan 3(1)</t>
        </is>
      </c>
      <c r="D90" s="7" t="inlineStr"/>
      <c r="E90" s="7" t="inlineStr"/>
      <c r="F90" t="inlineStr">
        <is>
          <t>D</t>
        </is>
      </c>
    </row>
    <row r="91">
      <c r="A91" s="7" t="inlineStr">
        <is>
          <t>D14</t>
        </is>
      </c>
      <c r="B91" s="7" t="inlineStr">
        <is>
          <t>Gelatin dalam apa jua bentuk (cangkerang kapsul keras, softgel, pengikat, penstabil atau salutan) dan kolagen berasal daripada haiwan halal yang disembelih mengikut Hukum Syarak (cth. lembu, kerbau) atau daripada ikan, dan mempunyai sijil halal. Gelatin babi tidak digunakan.</t>
        </is>
      </c>
      <c r="C91" s="7" t="inlineStr">
        <is>
          <t>MPPHM 17(1)(b); MS 2424 kl. 4.16*</t>
        </is>
      </c>
      <c r="D91" s="7" t="inlineStr"/>
      <c r="E91" s="7" t="inlineStr"/>
      <c r="F91" t="inlineStr">
        <is>
          <t>D</t>
        </is>
      </c>
    </row>
    <row r="92">
      <c r="A92" s="7" t="inlineStr">
        <is>
          <t>D15</t>
        </is>
      </c>
      <c r="B92" s="7" t="inlineStr">
        <is>
          <t>Sumber kapsul bukan gelatin (cth. HPMC, pullulan atau kanji) disahkan, dan bahan tambahannya (cth. agen pemejal, pewarna) bebas daripada bahan bersumber haiwan yang tidak halal.</t>
        </is>
      </c>
      <c r="C92" s="7" t="inlineStr">
        <is>
          <t>MPPHM 17(1)(d); MS 2424 kl. 4.16*</t>
        </is>
      </c>
      <c r="D92" s="7" t="inlineStr"/>
      <c r="E92" s="7" t="inlineStr"/>
      <c r="F92" t="inlineStr">
        <is>
          <t>D</t>
        </is>
      </c>
    </row>
    <row r="93">
      <c r="A93" s="7" t="inlineStr">
        <is>
          <t>D16</t>
        </is>
      </c>
      <c r="B93" s="7" t="inlineStr">
        <is>
          <t>Eksipien terbitan lemak (magnesium stearat, kalsium stearat, asid stearik, gliseril monostearat, polisorbat, mono- dan digliserida) berasal daripada sumber tumbuhan atau sintetik, atau daripada sumber haiwan halal yang bersijil.</t>
        </is>
      </c>
      <c r="C93" s="7" t="inlineStr">
        <is>
          <t>MPPHM 17(1)(b), 17(1)(d); MS 2424 kl. 4.16*</t>
        </is>
      </c>
      <c r="D93" s="7" t="inlineStr"/>
      <c r="E93" s="7" t="inlineStr"/>
      <c r="F93" t="inlineStr">
        <is>
          <t>D</t>
        </is>
      </c>
    </row>
    <row r="94">
      <c r="A94" s="7" t="inlineStr">
        <is>
          <t>D17</t>
        </is>
      </c>
      <c r="B94" s="7" t="inlineStr">
        <is>
          <t>Gliserin/gliserol (cth. pemplastik softgel, sirap dan krim) berasal daripada sumber tumbuhan atau sintetik, atau daripada sumber haiwan halal yang bersijil.</t>
        </is>
      </c>
      <c r="C94" s="7" t="inlineStr">
        <is>
          <t>MPPHM 17(1)(b), 17(1)(d); MS 2424 kl. 4.16*</t>
        </is>
      </c>
      <c r="D94" s="7" t="inlineStr"/>
      <c r="E94" s="7" t="inlineStr"/>
      <c r="F94" t="inlineStr">
        <is>
          <t>D</t>
        </is>
      </c>
    </row>
    <row r="95">
      <c r="A95" s="7" t="inlineStr">
        <is>
          <t>D18</t>
        </is>
      </c>
      <c r="B95" s="7" t="inlineStr">
        <is>
          <t>Laktosa, whey dan terbitan susu: enzim atau renet yang digunakan untuk menghasilkannya adalah halal (renet mikrob, atau renet daripada haiwan halal yang disembelih), dan ada sijil atau pengisytiharan pengeluar.</t>
        </is>
      </c>
      <c r="C95" s="7" t="inlineStr">
        <is>
          <t>MPPHM 17(1)(b), 17(1)(d); MS 2424 kl. 4.16*</t>
        </is>
      </c>
      <c r="D95" s="7" t="inlineStr"/>
      <c r="E95" s="7" t="inlineStr"/>
      <c r="F95" t="inlineStr">
        <is>
          <t>D</t>
        </is>
      </c>
    </row>
    <row r="96">
      <c r="A96" s="7" t="inlineStr">
        <is>
          <t>D19</t>
        </is>
      </c>
      <c r="B96" s="7" t="inlineStr">
        <is>
          <t>Premiks vitamin dan 'beadlet' (cth. vitamin A, D3, E dan beta-karotena): bahan pengkapsul dan penstabilnya (cth. gelatin) berasal daripada sumber halal yang bersijil.</t>
        </is>
      </c>
      <c r="C96" s="7" t="inlineStr">
        <is>
          <t>MPPHM 17(1)(b), 17(1)(f); MS 2424 kl. 4.16*</t>
        </is>
      </c>
      <c r="D96" s="7" t="inlineStr"/>
      <c r="E96" s="7" t="inlineStr"/>
      <c r="F96" t="inlineStr">
        <is>
          <t>D</t>
        </is>
      </c>
    </row>
    <row r="97">
      <c r="A97" s="7" t="inlineStr">
        <is>
          <t>D20</t>
        </is>
      </c>
      <c r="B97" s="7" t="inlineStr">
        <is>
          <t>Suplemen kesihatan dan produk semula jadi: bahan aktif bersumber haiwan (cth. kolagen, kondroitin, glukosamin, kolostrum, minyak ikan, skualena, vitamin D3 daripada lanolin, sarang burung) berasal daripada spesies halal, dan bahan daripada haiwan darat datang daripada haiwan yang disembelih mengikut Hukum Syarak dan bersijil halal. Tiada bahagian haiwan tidak halal digunakan (cth. babi, anjing, ular, katak, cicak, kala jengking, atau haiwan pemangsa bertaring atau berkuku tajam).</t>
        </is>
      </c>
      <c r="C97" s="7" t="inlineStr">
        <is>
          <t>MPPHM 17(1)(b); MS 2424 kl. 4.4*, 4.16*; Perintah Takrif Halal 2011 perenggan 3(1)</t>
        </is>
      </c>
      <c r="D97" s="7" t="inlineStr"/>
      <c r="E97" s="7" t="inlineStr"/>
      <c r="F97" t="inlineStr">
        <is>
          <t>D</t>
        </is>
      </c>
    </row>
    <row r="98">
      <c r="A98" s="7" t="inlineStr">
        <is>
          <t>D21</t>
        </is>
      </c>
      <c r="B98" s="7" t="inlineStr">
        <is>
          <t>Suplemen kesihatan dan produk semula jadi: bahan daripada spesies hidupan liar atau spesies terancam (haiwan atau tumbuhan) mematuhi Akta Pemuliharaan Hidupan Liar 2010 (Akta 716) dan Akta Perdagangan Antarabangsa Mengenai Spesies Terancam 2008 (Akta 686), dan permit yang diperlukan tersedia.</t>
        </is>
      </c>
      <c r="C98" s="7" t="inlineStr">
        <is>
          <t>MPPHM 17(1)(i); DRGD Lampiran 6 (5.3.5), Lampiran 7 (2.2.4)</t>
        </is>
      </c>
      <c r="D98" s="7" t="inlineStr"/>
      <c r="E98" s="7" t="inlineStr"/>
      <c r="F98" t="inlineStr">
        <is>
          <t>D</t>
        </is>
      </c>
    </row>
    <row r="99">
      <c r="A99" s="7" t="inlineStr">
        <is>
          <t>D22</t>
        </is>
      </c>
      <c r="B99" s="7" t="inlineStr">
        <is>
          <t>Bahan tumbuhan, cendawan, mineral dan bahan kimia (semula jadi atau sintetik) tidak memabukkan, tidak beracun atau memudaratkan pada dos yang didaftarkan, dan tidak dicemari najis.</t>
        </is>
      </c>
      <c r="C99" s="7" t="inlineStr">
        <is>
          <t>Perintah Takrif Halal 2011 perenggan 3(1); MS 2424 kl. 4.16*</t>
        </is>
      </c>
      <c r="D99" s="7" t="inlineStr"/>
      <c r="E99" s="7" t="inlineStr"/>
      <c r="F99" t="inlineStr">
        <is>
          <t>D</t>
        </is>
      </c>
    </row>
    <row r="100">
      <c r="A100" s="7" t="inlineStr">
        <is>
          <t>D23</t>
        </is>
      </c>
      <c r="B100" s="7" t="inlineStr">
        <is>
          <t>Bahan aktif dan bahan sintetik: pengeluar mendokumenkan sumber bahan permulaan, reagen, mangkin dan enzim yang digunakan dalam sintesis, dan tiada satu pun yang bersumber haiwan tidak halal.</t>
        </is>
      </c>
      <c r="C100" s="7" t="inlineStr">
        <is>
          <t>MPPHM 17(1)(d); MS 2424 kl. 4.16*</t>
        </is>
      </c>
      <c r="D100" s="7" t="inlineStr"/>
      <c r="E100" s="7" t="inlineStr"/>
      <c r="F100" t="inlineStr">
        <is>
          <t>D</t>
        </is>
      </c>
    </row>
    <row r="101">
      <c r="A101" s="7" t="inlineStr">
        <is>
          <t>D24</t>
        </is>
      </c>
      <c r="B101" s="7" t="inlineStr">
        <is>
          <t>Mikroorganisma, bank sel, media kultur dan substrat fermentasi (cth. pepton, ekstrak daging, serum, tripsin, krioprotektan) yang digunakan untuk menghasilkan bahan aktif, enzim atau probiotik adalah halal dan didokumenkan. Organisma terubah suai genetik tidak menggunakan bahan genetik daripada haiwan tidak halal.</t>
        </is>
      </c>
      <c r="C101" s="7" t="inlineStr">
        <is>
          <t>MPPHM 17(1)(d); MS 2424 kl. 4.16*</t>
        </is>
      </c>
      <c r="D101" s="7" t="inlineStr"/>
      <c r="E101" s="7" t="inlineStr"/>
      <c r="F101" t="inlineStr">
        <is>
          <t>D</t>
        </is>
      </c>
    </row>
    <row r="102">
      <c r="A102" s="7" t="inlineStr">
        <is>
          <t>D25</t>
        </is>
      </c>
      <c r="B102" s="7" t="inlineStr">
        <is>
          <t>Produk tidak mengandungi bahan najis (cth. darah atau bahan daripada bangkai), atau bahagian dan hasilan tubuh manusia yang tidak dibenarkan Hukum Syarak. Produk tradisional tidak mengandungi bahan bersumber manusia (cth. plasenta manusia atau rambut manusia berkarbon).</t>
        </is>
      </c>
      <c r="C102" s="7" t="inlineStr">
        <is>
          <t>Perintah Takrif Halal 2011 perenggan 3(1); MS 2424 kl. 4.4*; DRGD Lampiran 7 (1.3)</t>
        </is>
      </c>
      <c r="D102" s="7" t="inlineStr"/>
      <c r="E102" s="7" t="inlineStr"/>
      <c r="F102" t="inlineStr">
        <is>
          <t>D</t>
        </is>
      </c>
    </row>
    <row r="103">
      <c r="A103" s="7" t="inlineStr">
        <is>
          <t>D26</t>
        </is>
      </c>
      <c r="B103" s="7" t="inlineStr">
        <is>
          <t>Etanol yang digunakan sebagai pelarut atau bahan pengekstrak tidak diperoleh daripada proses pembuatan arak (ada pengisytiharan pengeluar), dan tiada arak atau minuman beralkohol digunakan sebagai bahan.</t>
        </is>
      </c>
      <c r="C103" s="7" t="inlineStr">
        <is>
          <t>Fatwa Muzakarah Khas MKI 2011 (alkohol); MS 2424 kl. 4.16*</t>
        </is>
      </c>
      <c r="D103" s="7" t="inlineStr"/>
      <c r="E103" s="7" t="inlineStr"/>
      <c r="F103" t="inlineStr">
        <is>
          <t>D</t>
        </is>
      </c>
    </row>
    <row r="104">
      <c r="A104" s="7" t="inlineStr">
        <is>
          <t>D27</t>
        </is>
      </c>
      <c r="B104" s="7" t="inlineStr">
        <is>
          <t>Produk siap yang mengandungi etanol (cth. sirap, tinktur, ekstrak cecair atau tonik herba) tidak memabukkan pada dos yang didaftarkan, dan etanol hanya berfungsi sebagai pelarut, bukan sebagai minuman beralkohol.</t>
        </is>
      </c>
      <c r="C104" s="7" t="inlineStr">
        <is>
          <t>Perintah Takrif Halal 2011 perenggan 3(1); Fatwa Muzakarah Khas MKI 2011 (alkohol)</t>
        </is>
      </c>
      <c r="D104" s="7" t="inlineStr"/>
      <c r="E104" s="7" t="inlineStr"/>
      <c r="F104" t="inlineStr">
        <is>
          <t>D</t>
        </is>
      </c>
    </row>
    <row r="105">
      <c r="A105" s="7" t="inlineStr">
        <is>
          <t>D28</t>
        </is>
      </c>
      <c r="B105" s="7" t="inlineStr">
        <is>
          <t>Ubat untuk kegunaan dalaman tidak mengandungi metil alkohol, isopropil alkohol atau alkohol ternyahasli.</t>
        </is>
      </c>
      <c r="C105" s="7" t="inlineStr">
        <is>
          <t>AJD 1952 s. 10(1)(e)</t>
        </is>
      </c>
      <c r="D105" s="7" t="inlineStr"/>
      <c r="E105" s="7" t="inlineStr"/>
      <c r="F105" t="inlineStr">
        <is>
          <t>D</t>
        </is>
      </c>
    </row>
    <row r="106">
      <c r="A106" s="7" t="inlineStr">
        <is>
          <t>D29</t>
        </is>
      </c>
      <c r="B106" s="7" t="inlineStr">
        <is>
          <t>Perisa, pewarna dan pemanis (cth. dalam sirap dan tablet kunyah) mempunyai sijil halal atau dokumen sokongan, dan pelarut pembawa perisa bukan etanol daripada proses pembuatan arak.</t>
        </is>
      </c>
      <c r="C106" s="7" t="inlineStr">
        <is>
          <t>MPPHM 17(1)(b), 17(1)(d); Fatwa Muzakarah Khas MKI 2011 (alkohol)</t>
        </is>
      </c>
      <c r="D106" s="7" t="inlineStr"/>
      <c r="E106" s="7" t="inlineStr"/>
      <c r="F106" t="inlineStr">
        <is>
          <t>D</t>
        </is>
      </c>
    </row>
    <row r="107">
      <c r="A107" s="7" t="inlineStr">
        <is>
          <t>D30</t>
        </is>
      </c>
      <c r="B107" s="7" t="inlineStr">
        <is>
          <t>Status hukum bahan bersumber serangga (cth. syelak, karmin daripada serangga cochineal, lilin lebah, madu dan propolis) disemak dan didokumenkan.</t>
        </is>
      </c>
      <c r="C107" s="7" t="inlineStr">
        <is>
          <t>MPPHM 17(1)(d); MS 2424 kl. 4.16*</t>
        </is>
      </c>
      <c r="D107" s="7" t="inlineStr"/>
      <c r="E107" s="7" t="inlineStr"/>
      <c r="F107" t="inlineStr">
        <is>
          <t>D</t>
        </is>
      </c>
    </row>
    <row r="108">
      <c r="A108" s="7" t="inlineStr">
        <is>
          <t>D31</t>
        </is>
      </c>
      <c r="B108" s="7" t="inlineStr">
        <is>
          <t>Bahan bantu pemprosesan yang tidak tertera pada label (cth. karbon teraktif, bahan bantu turas, enzim, agen antibuih, agen pelepas acuan dan resin) tersenarai dalam senarai induk dan halal. Karbon teraktif bukan daripada arang tulang haiwan yang tidak halal.</t>
        </is>
      </c>
      <c r="C108" s="7" t="inlineStr">
        <is>
          <t>MHMS 5(7); MPPHM 17(1)(a); MS 2424 kl. 4.16*</t>
        </is>
      </c>
      <c r="D108" s="7" t="inlineStr"/>
      <c r="E108" s="7" t="inlineStr"/>
      <c r="F108" t="inlineStr">
        <is>
          <t>D</t>
        </is>
      </c>
    </row>
    <row r="109">
      <c r="A109" s="7" t="inlineStr">
        <is>
          <t>D32</t>
        </is>
      </c>
      <c r="B109" s="7" t="inlineStr">
        <is>
          <t>Sumber air bukan bekalan awam (cth. air telaga) mempunyai laporan analisis kualiti air.</t>
        </is>
      </c>
      <c r="C109" s="7" t="inlineStr">
        <is>
          <t>MPPHM 17(1)(j)</t>
        </is>
      </c>
      <c r="D109" s="7" t="inlineStr"/>
      <c r="E109" s="7" t="inlineStr"/>
      <c r="F109" t="inlineStr">
        <is>
          <t>D</t>
        </is>
      </c>
    </row>
    <row r="110">
      <c r="A110" s="7" t="inlineStr">
        <is>
          <t>D33</t>
        </is>
      </c>
      <c r="B110" s="7" t="inlineStr">
        <is>
          <t>Bahan mematuhi undang-undang berkaitan: tiada bahan yang dilarang dalam senarai bahan DRGD (dan, bagi produk semula jadi, dalam Jadual II PKDK 1984) digunakan, dan bahan yang dihadkan tidak melebihi hadnya.</t>
        </is>
      </c>
      <c r="C110" s="7" t="inlineStr">
        <is>
          <t>MPPHM 17(1)(i); DRGD Lampiran 18; PKDK 1984 per. 7A; AJD 1952 s. 10(1)(c), 10(1)(d)</t>
        </is>
      </c>
      <c r="D110" s="7" t="inlineStr"/>
      <c r="E110" s="7" t="inlineStr"/>
      <c r="F110" t="inlineStr">
        <is>
          <t>D</t>
        </is>
      </c>
    </row>
    <row r="111">
      <c r="A111" s="4" t="inlineStr">
        <is>
          <t>Bahagian E: Penerimaan &amp; Penyimpanan</t>
        </is>
      </c>
      <c r="B111" s="5" t="n"/>
      <c r="C111" s="5" t="n"/>
      <c r="D111" s="5" t="n"/>
      <c r="E111" s="6" t="n"/>
    </row>
    <row r="112" ht="26" customHeight="1">
      <c r="A112" s="2" t="inlineStr">
        <is>
          <t>Periksa kawasan penerimaan dan kuarantin, gudang bahan mentah dan bahan pembungkusan, stor bahan ditolak dan produk dipulangkan, stor bahan kimia, gudang produk siap dan stor pihak ketiga (jika ada).</t>
        </is>
      </c>
    </row>
    <row r="113">
      <c r="A113" s="7" t="inlineStr">
        <is>
          <t>E1</t>
        </is>
      </c>
      <c r="B113" s="7" t="inlineStr">
        <is>
          <t>Setiap bahan yang diterima diperiksa terhadap senarai induk (nama bahan, pengeluar, label, logo atau sijil halal, dan keadaan bungkusan). Bahan yang tidak sepadan atau diragui ditahan dan dilaporkan kepada Eksekutif/Penyelia Halal.</t>
        </is>
      </c>
      <c r="C113" s="7" t="inlineStr">
        <is>
          <t>MHMS 5(7); MPPHM 17(1)(h); PIC/S GMP Bab 5</t>
        </is>
      </c>
      <c r="D113" s="7" t="inlineStr"/>
      <c r="E113" s="7" t="inlineStr"/>
      <c r="F113" t="inlineStr">
        <is>
          <t>E</t>
        </is>
      </c>
    </row>
    <row r="114">
      <c r="A114" s="7" t="inlineStr">
        <is>
          <t>E2</t>
        </is>
      </c>
      <c r="B114" s="7" t="inlineStr">
        <is>
          <t>Nombor lot dan rujukan sijil halal bahan kritikal (cth. gelatin, kapsul, gliserin dan stearat) direkod semasa penerimaan bagi tujuan kebolehkesanan.</t>
        </is>
      </c>
      <c r="C114" s="7" t="inlineStr">
        <is>
          <t>MHMS 5(9); PIC/S GMP Bab 5</t>
        </is>
      </c>
      <c r="D114" s="7" t="inlineStr"/>
      <c r="E114" s="7" t="inlineStr"/>
      <c r="F114" t="inlineStr">
        <is>
          <t>E</t>
        </is>
      </c>
    </row>
    <row r="115">
      <c r="A115" s="7" t="inlineStr">
        <is>
          <t>E3</t>
        </is>
      </c>
      <c r="B115" s="7" t="inlineStr">
        <is>
          <t>Status bahan (kuarantin, lulus atau ditolak) dilabel dengan jelas, dan bahan hanya dilepaskan untuk pengeluaran selepas status halalnya disahkan.</t>
        </is>
      </c>
      <c r="C115" s="7" t="inlineStr">
        <is>
          <t>PIC/S GMP Bab 5; MS 2424 kl. 4.5*</t>
        </is>
      </c>
      <c r="D115" s="7" t="inlineStr"/>
      <c r="E115" s="7" t="inlineStr"/>
      <c r="F115" t="inlineStr">
        <is>
          <t>E</t>
        </is>
      </c>
    </row>
    <row r="116">
      <c r="A116" s="7" t="inlineStr">
        <is>
          <t>E4</t>
        </is>
      </c>
      <c r="B116" s="7" t="inlineStr">
        <is>
          <t>Stor dan gudang digunakan untuk bahan dan produk halal sahaja, termasuk produk dagangan.</t>
        </is>
      </c>
      <c r="C116" s="7" t="inlineStr">
        <is>
          <t>MPPHM 17(4)(a); MS 2424 kl. 4.10*</t>
        </is>
      </c>
      <c r="D116" s="7" t="inlineStr"/>
      <c r="E116" s="7" t="inlineStr"/>
      <c r="F116" t="inlineStr">
        <is>
          <t>E</t>
        </is>
      </c>
    </row>
    <row r="117">
      <c r="A117" s="7" t="inlineStr">
        <is>
          <t>E5</t>
        </is>
      </c>
      <c r="B117" s="7" t="inlineStr">
        <is>
          <t>Bahan mentah, bahan pembungkusan, produk perantaraan, produk siap, bahan R&amp;D, bahan ditolak, produk dipulangkan, peralatan dan bahan kimia disimpan di kawasan yang berasingan dan dilabel.</t>
        </is>
      </c>
      <c r="C117" s="7" t="inlineStr">
        <is>
          <t>MPPHM 17(4)(b), 17(4)(i); PKDK 1984 per. 20(2)</t>
        </is>
      </c>
      <c r="D117" s="7" t="inlineStr"/>
      <c r="E117" s="7" t="inlineStr"/>
      <c r="F117" t="inlineStr">
        <is>
          <t>E</t>
        </is>
      </c>
    </row>
    <row r="118">
      <c r="A118" s="7" t="inlineStr">
        <is>
          <t>E6</t>
        </is>
      </c>
      <c r="B118" s="7" t="inlineStr">
        <is>
          <t>Barang yang tidak berkaitan (cth. barang peribadi, makanan atau peralatan yang tidak digunakan) tidak disimpan bersama bahan mentah atau produk siap.</t>
        </is>
      </c>
      <c r="C118" s="7" t="inlineStr">
        <is>
          <t>MPPHM 17(4)(c)</t>
        </is>
      </c>
      <c r="D118" s="7" t="inlineStr"/>
      <c r="E118" s="7" t="inlineStr"/>
      <c r="F118" t="inlineStr">
        <is>
          <t>E</t>
        </is>
      </c>
    </row>
    <row r="119">
      <c r="A119" s="7" t="inlineStr">
        <is>
          <t>E7</t>
        </is>
      </c>
      <c r="B119" s="7" t="inlineStr">
        <is>
          <t>Bahan disimpan mengikut sifatnya (cth. suhu dan kelembapan terkawal bagi kapsul gelatin, softgel dan probiotik).</t>
        </is>
      </c>
      <c r="C119" s="7" t="inlineStr">
        <is>
          <t>MPPHM 17(4)(d)</t>
        </is>
      </c>
      <c r="D119" s="7" t="inlineStr"/>
      <c r="E119" s="7" t="inlineStr"/>
      <c r="F119" t="inlineStr">
        <is>
          <t>E</t>
        </is>
      </c>
    </row>
    <row r="120">
      <c r="A120" s="7" t="inlineStr">
        <is>
          <t>E8</t>
        </is>
      </c>
      <c r="B120" s="7" t="inlineStr">
        <is>
          <t>Stor bersih dan teratur, dan bahan disusun di atas palet atau rak dengan ruang untuk pembersihan.</t>
        </is>
      </c>
      <c r="C120" s="7" t="inlineStr">
        <is>
          <t>MPPHM 17(4)(e), 17(4)(g), 17(8)(f)</t>
        </is>
      </c>
      <c r="D120" s="7" t="inlineStr"/>
      <c r="E120" s="7" t="inlineStr"/>
      <c r="F120" t="inlineStr">
        <is>
          <t>E</t>
        </is>
      </c>
    </row>
    <row r="121">
      <c r="A121" s="7" t="inlineStr">
        <is>
          <t>E9</t>
        </is>
      </c>
      <c r="B121" s="7" t="inlineStr">
        <is>
          <t>Prosedur penyimpanan, rekod stok yang lengkap dan penandaan lokasi yang jelas tersedia.</t>
        </is>
      </c>
      <c r="C121" s="7" t="inlineStr">
        <is>
          <t>MPPHM 17(4)(f)</t>
        </is>
      </c>
      <c r="D121" s="7" t="inlineStr"/>
      <c r="E121" s="7" t="inlineStr"/>
      <c r="F121" t="inlineStr">
        <is>
          <t>E</t>
        </is>
      </c>
    </row>
    <row r="122">
      <c r="A122" s="7" t="inlineStr">
        <is>
          <t>E10</t>
        </is>
      </c>
      <c r="B122" s="7" t="inlineStr">
        <is>
          <t>Bahan yang ditolak kerana isu halal (cth. tiada sijil atau bersumber babi) diasingkan, dilabel, dan dipulangkan atau dilupuskan dengan rekod.</t>
        </is>
      </c>
      <c r="C122" s="7" t="inlineStr">
        <is>
          <t>MHMS 5(7); MPPHM 17(4)(b)</t>
        </is>
      </c>
      <c r="D122" s="7" t="inlineStr"/>
      <c r="E122" s="7" t="inlineStr"/>
      <c r="F122" t="inlineStr">
        <is>
          <t>E</t>
        </is>
      </c>
    </row>
    <row r="123">
      <c r="A123" s="7" t="inlineStr">
        <is>
          <t>E11</t>
        </is>
      </c>
      <c r="B123" s="7" t="inlineStr">
        <is>
          <t>Produk yang dipulangkan atau ditarik balik diasingkan, dan QA menilainya (termasuk status halal) sebelum produk itu dilupuskan atau diproses semula.</t>
        </is>
      </c>
      <c r="C123" s="7" t="inlineStr">
        <is>
          <t>PKDK 1984 per. 20(2); PIC/S GMP Bab 5</t>
        </is>
      </c>
      <c r="D123" s="7" t="inlineStr"/>
      <c r="E123" s="7" t="inlineStr"/>
      <c r="F123" t="inlineStr">
        <is>
          <t>E</t>
        </is>
      </c>
    </row>
    <row r="124">
      <c r="A124" s="7" t="inlineStr">
        <is>
          <t>E12</t>
        </is>
      </c>
      <c r="B124" s="7" t="inlineStr">
        <is>
          <t>Stor pihak ketiga (jika digunakan) mempunyai kontrak bertulis yang merangkumi keperluan halal, dan pemegang SPHM logistik diutamakan.</t>
        </is>
      </c>
      <c r="C124" s="7" t="inlineStr">
        <is>
          <t>MPPHM 17(4)(h); MS 2424 kl. 4.18*; PIC/S GMP Bab 7</t>
        </is>
      </c>
      <c r="D124" s="7" t="inlineStr"/>
      <c r="E124" s="7" t="inlineStr"/>
      <c r="F124" t="inlineStr">
        <is>
          <t>E</t>
        </is>
      </c>
    </row>
    <row r="125">
      <c r="A125" s="4" t="inlineStr">
        <is>
          <t>Bahagian F: Pengilangan &amp; Pemprosesan</t>
        </is>
      </c>
      <c r="B125" s="5" t="n"/>
      <c r="C125" s="5" t="n"/>
      <c r="D125" s="5" t="n"/>
      <c r="E125" s="6" t="n"/>
    </row>
    <row r="126" ht="26" customHeight="1">
      <c r="A126" s="2" t="inlineStr">
        <is>
          <t>Perhatikan operasi di bilik timbang, kawasan pengeluaran (granulasi, pencampuran, penablet, pengkapsulan, softgel, salutan, pengekstrakan, pengisian cecair dan fermentasi) dan pembungkusan primer, kemudian bandingkan dengan rekod kelompok.</t>
        </is>
      </c>
    </row>
    <row r="127">
      <c r="A127" s="7" t="inlineStr">
        <is>
          <t>F1</t>
        </is>
      </c>
      <c r="B127" s="7" t="inlineStr">
        <is>
          <t>Semua aktiviti pengilangan memenuhi Hukum Syarak dan dijalankan mengikut keperluan yang ditetapkan oleh PBKD (GMP), termasuk prosedur bertulis yang diluluskan.</t>
        </is>
      </c>
      <c r="C127" s="7" t="inlineStr">
        <is>
          <t>MPPHM 17(2)(g), 17(3)(a); MS 2424 kl. 4.15*; PKDK 1984 per. 22; PIC/S GMP Bab 5</t>
        </is>
      </c>
      <c r="D127" s="7" t="inlineStr"/>
      <c r="E127" s="7" t="inlineStr"/>
      <c r="F127" t="inlineStr">
        <is>
          <t>F</t>
        </is>
      </c>
    </row>
    <row r="128">
      <c r="A128" s="7" t="inlineStr">
        <is>
          <t>F2</t>
        </is>
      </c>
      <c r="B128" s="7" t="inlineStr">
        <is>
          <t>Kawasan pengilangan bebas daripada bahan dan produk tidak halal, bersih dan teratur, dan tidak digunakan untuk tujuan lain tanpa kawalan halal.</t>
        </is>
      </c>
      <c r="C128" s="7" t="inlineStr">
        <is>
          <t>MPPHM 17(3)(b), 17(3)(c), 17(3)(f)</t>
        </is>
      </c>
      <c r="D128" s="7" t="inlineStr"/>
      <c r="E128" s="7" t="inlineStr"/>
      <c r="F128" t="inlineStr">
        <is>
          <t>F</t>
        </is>
      </c>
    </row>
    <row r="129">
      <c r="A129" s="7" t="inlineStr">
        <is>
          <t>F3</t>
        </is>
      </c>
      <c r="B129" s="7" t="inlineStr">
        <is>
          <t>Formula induk dan rekod pengilangan kelompok sepadan dengan formulasi yang didaftarkan dengan PBKD dan dengan senarai bahan dalam MYeHALAL, dan pengeluaran sebenar mengikut rekod pemprosesan yang terkini.</t>
        </is>
      </c>
      <c r="C129" s="7" t="inlineStr">
        <is>
          <t>MPPHM 17(2)(d); PIC/S GMP Bab 4</t>
        </is>
      </c>
      <c r="D129" s="7" t="inlineStr"/>
      <c r="E129" s="7" t="inlineStr"/>
      <c r="F129" t="inlineStr">
        <is>
          <t>F</t>
        </is>
      </c>
    </row>
    <row r="130">
      <c r="A130" s="7" t="inlineStr">
        <is>
          <t>F4</t>
        </is>
      </c>
      <c r="B130" s="7" t="inlineStr">
        <is>
          <t>Di bilik timbang, stesen pengkapsulan dan tempat penyediaan media, hanya bahan berstatus lulus yang sepadan dengan senarai induk digunakan (cth. lot cangkerang kapsul, jisim gelatin dan media kultur), dan nombor lot setiap bahan direkod dalam rekod kelompok.</t>
        </is>
      </c>
      <c r="C130" s="7" t="inlineStr">
        <is>
          <t>PIC/S GMP Bab 5; MHMS 5(6), 5(9)</t>
        </is>
      </c>
      <c r="D130" s="7" t="inlineStr"/>
      <c r="E130" s="7" t="inlineStr"/>
      <c r="F130" t="inlineStr">
        <is>
          <t>F</t>
        </is>
      </c>
    </row>
    <row r="131">
      <c r="A131" s="7" t="inlineStr">
        <is>
          <t>F5</t>
        </is>
      </c>
      <c r="B131" s="7" t="inlineStr">
        <is>
          <t>Pembersihan talian (line clearance) dibuat dan direkod sebelum setiap kelompok, supaya tiada bahan, produk atau label daripada kelompok terdahulu yang tertinggal.</t>
        </is>
      </c>
      <c r="C131" s="7" t="inlineStr">
        <is>
          <t>PIC/S GMP Bab 5; MHMS 5(6)</t>
        </is>
      </c>
      <c r="D131" s="7" t="inlineStr"/>
      <c r="E131" s="7" t="inlineStr"/>
      <c r="F131" t="inlineStr">
        <is>
          <t>F</t>
        </is>
      </c>
    </row>
    <row r="132">
      <c r="A132" s="7" t="inlineStr">
        <is>
          <t>F6</t>
        </is>
      </c>
      <c r="B132" s="7" t="inlineStr">
        <is>
          <t>Etanol atau pelarut lain yang digunakan dalam granulasi basah, salutan atau pengekstrakan adalah daripada gred dan sumber yang diluluskan, dan pelarut yang dikitar semula hanya berasal daripada proses produk halal di premis.</t>
        </is>
      </c>
      <c r="C132" s="7" t="inlineStr">
        <is>
          <t>Fatwa Muzakarah Khas MKI 2011 (alkohol); MS 2424 kl. 4.15*</t>
        </is>
      </c>
      <c r="D132" s="7" t="inlineStr"/>
      <c r="E132" s="7" t="inlineStr"/>
      <c r="F132" t="inlineStr">
        <is>
          <t>F</t>
        </is>
      </c>
    </row>
    <row r="133">
      <c r="A133" s="7" t="inlineStr">
        <is>
          <t>F7</t>
        </is>
      </c>
      <c r="B133" s="7" t="inlineStr">
        <is>
          <t>Produk semula jadi: herba tidak direndam, dimasak atau diekstrak dengan arak atau wain, sama ada di premis atau oleh pembekal, dan tiada bahan tidak halal digunakan sebagai pelarut atau pembawa.</t>
        </is>
      </c>
      <c r="C133" s="7" t="inlineStr">
        <is>
          <t>MPPHM 6(1), 17(3)(a); Perintah Takrif Halal 2011 perenggan 3(1); MS 2424 kl. 4.15*</t>
        </is>
      </c>
      <c r="D133" s="7" t="inlineStr"/>
      <c r="E133" s="7" t="inlineStr"/>
      <c r="F133" t="inlineStr">
        <is>
          <t>F</t>
        </is>
      </c>
    </row>
    <row r="134">
      <c r="A134" s="7" t="inlineStr">
        <is>
          <t>F8</t>
        </is>
      </c>
      <c r="B134" s="7" t="inlineStr">
        <is>
          <t>Pengilang vaksin/biologik (jika berkaitan): HCP proses vaksin dikenal pasti dan dikawal, contohnya bank sel induk/kerja, media kultur, enzim (cth. tripsin), penstabil (cth. gelatin), adjuvan, protein pembawa dan sakarida teraktif.</t>
        </is>
      </c>
      <c r="C134" s="7" t="inlineStr">
        <is>
          <t>MS 2424 Lampiran B*, kl. 3*; MHMS 5(6)</t>
        </is>
      </c>
      <c r="D134" s="7" t="inlineStr"/>
      <c r="E134" s="7" t="inlineStr"/>
      <c r="F134" t="inlineStr">
        <is>
          <t>F</t>
        </is>
      </c>
    </row>
    <row r="135">
      <c r="A135" s="7" t="inlineStr">
        <is>
          <t>F9</t>
        </is>
      </c>
      <c r="B135" s="7" t="inlineStr">
        <is>
          <t>R&amp;D: status halal semua bahan dalam setiap formulasi baharu atau formulasi yang diubah disaring sebelum kelompok percubaan dan sebelum permohonan pendaftaran atau variasi PBKD. Bahan R&amp;D yang belum diluluskan tidak digunakan dalam kelompok komersial.</t>
        </is>
      </c>
      <c r="C135" s="7" t="inlineStr">
        <is>
          <t>MHMS 5(6); MPPHM 17(2)(h)</t>
        </is>
      </c>
      <c r="D135" s="7" t="inlineStr"/>
      <c r="E135" s="7" t="inlineStr"/>
      <c r="F135" t="inlineStr">
        <is>
          <t>F</t>
        </is>
      </c>
    </row>
    <row r="136">
      <c r="A136" s="7" t="inlineStr">
        <is>
          <t>F10</t>
        </is>
      </c>
      <c r="B136" s="7" t="inlineStr">
        <is>
          <t>Kerja semula atau pemprosesan semula kelompok hanya dibuat selepas penilaian QA, dan tidak menggunakan bahan atau produk yang status halalnya tidak dapat disahkan.</t>
        </is>
      </c>
      <c r="C136" s="7" t="inlineStr">
        <is>
          <t>PIC/S GMP Bab 5; MHMS 5(6)</t>
        </is>
      </c>
      <c r="D136" s="7" t="inlineStr"/>
      <c r="E136" s="7" t="inlineStr"/>
      <c r="F136" t="inlineStr">
        <is>
          <t>F</t>
        </is>
      </c>
    </row>
    <row r="137">
      <c r="A137" s="7" t="inlineStr">
        <is>
          <t>F11</t>
        </is>
      </c>
      <c r="B137" s="7" t="inlineStr">
        <is>
          <t>Bahan kimia toksik, bahan pencuci dan peralatan yang tidak berkaitan disimpan berasingan dengan kawalan, jauh daripada bahan dan produk yang terdedah.</t>
        </is>
      </c>
      <c r="C137" s="7" t="inlineStr">
        <is>
          <t>MPPHM 17(3)(g)</t>
        </is>
      </c>
      <c r="D137" s="7" t="inlineStr"/>
      <c r="E137" s="7" t="inlineStr"/>
      <c r="F137" t="inlineStr">
        <is>
          <t>F</t>
        </is>
      </c>
    </row>
    <row r="138">
      <c r="A138" s="4" t="inlineStr">
        <is>
          <t>Bahagian G: Peralatan, Utiliti, Pembersihan &amp; Sertu</t>
        </is>
      </c>
      <c r="B138" s="5" t="n"/>
      <c r="C138" s="5" t="n"/>
      <c r="D138" s="5" t="n"/>
      <c r="E138" s="6" t="n"/>
    </row>
    <row r="139" ht="26" customHeight="1">
      <c r="A139" s="2" t="inlineStr">
        <is>
          <t>Periksa peralatan pengilangan dan pembungkusan, peralatan yang dikongsi atau terpakai, alat pembersihan, sistem rawatan air, pelincir dan bahan pencuci, serta rekod pembersihan, validasi pembersihan dan sertu.</t>
        </is>
      </c>
    </row>
    <row r="140">
      <c r="A140" s="7" t="inlineStr">
        <is>
          <t>G1</t>
        </is>
      </c>
      <c r="B140" s="7" t="inlineStr">
        <is>
          <t>Peralatan dan perkakas digunakan untuk bahan dan produk halal sahaja.</t>
        </is>
      </c>
      <c r="C140" s="7" t="inlineStr">
        <is>
          <t>MPPHM 17(5)(a); MS 2424 kl. 4.9*</t>
        </is>
      </c>
      <c r="D140" s="7" t="inlineStr"/>
      <c r="E140" s="7" t="inlineStr"/>
      <c r="F140" t="inlineStr">
        <is>
          <t>G</t>
        </is>
      </c>
    </row>
    <row r="141">
      <c r="A141" s="7" t="inlineStr">
        <is>
          <t>G2</t>
        </is>
      </c>
      <c r="B141" s="7" t="inlineStr">
        <is>
          <t>Peralatan yang pernah digunakan untuk bahan atau produk bersumber najis mughallazah (termasuk peralatan terpakai, peralatan yang dipindahkan dari kilang lain, atau peralatan yang dipajak) telah disertu mengikut kaedah yang ditetapkan, dengan rekod sertu, dan selepas itu digunakan untuk produk halal sahaja. Validasi pembersihan GMP tidak menggantikan sertu.</t>
        </is>
      </c>
      <c r="C141" s="7" t="inlineStr">
        <is>
          <t>MPPHM 17(5)(h), 58; MHMS 5(12); MS 2424 Lampiran A*</t>
        </is>
      </c>
      <c r="D141" s="7" t="inlineStr"/>
      <c r="E141" s="7" t="inlineStr"/>
      <c r="F141" t="inlineStr">
        <is>
          <t>G</t>
        </is>
      </c>
    </row>
    <row r="142">
      <c r="A142" s="7" t="inlineStr">
        <is>
          <t>G3</t>
        </is>
      </c>
      <c r="B142" s="7" t="inlineStr">
        <is>
          <t>Validasi pembersihan dibuat bagi peralatan sentuhan produk yang dikongsi antara produk. Validasi itu menilai kes terburuk, had baki berasaskan penilaian toksikologi, masa pegangan kotor/bersih dan tempoh kempen, dan pemeriksaan visual tidak dijadikan kriteria tunggal.</t>
        </is>
      </c>
      <c r="C142" s="7" t="inlineStr">
        <is>
          <t>PIC/S GMP Annex 15 s. 10</t>
        </is>
      </c>
      <c r="D142" s="7" t="inlineStr"/>
      <c r="E142" s="7" t="inlineStr"/>
      <c r="F142" t="inlineStr">
        <is>
          <t>G</t>
        </is>
      </c>
    </row>
    <row r="143">
      <c r="A143" s="7" t="inlineStr">
        <is>
          <t>G4</t>
        </is>
      </c>
      <c r="B143" s="7" t="inlineStr">
        <is>
          <t>Status halal peralatan atau alat bersumber haiwan (cth. berus bulu dalam mesin penggilap kapsul atau tablet, berus dalam alat pembersihan, dan penapis) disahkan, dan tiada berus bulu babi digunakan.</t>
        </is>
      </c>
      <c r="C143" s="7" t="inlineStr">
        <is>
          <t>MPPHM 17(5)(c)</t>
        </is>
      </c>
      <c r="D143" s="7" t="inlineStr"/>
      <c r="E143" s="7" t="inlineStr"/>
      <c r="F143" t="inlineStr">
        <is>
          <t>G</t>
        </is>
      </c>
    </row>
    <row r="144">
      <c r="A144" s="7" t="inlineStr">
        <is>
          <t>G5</t>
        </is>
      </c>
      <c r="B144" s="7" t="inlineStr">
        <is>
          <t>Sumber dan status halal penapis air, karbon teraktif dan resin dalam sistem rawatan air (cth. air ditulenkan) disahkan.</t>
        </is>
      </c>
      <c r="C144" s="7" t="inlineStr">
        <is>
          <t>MPPHM 17(5)(c); MS 2424 kl. 4.9*</t>
        </is>
      </c>
      <c r="D144" s="7" t="inlineStr"/>
      <c r="E144" s="7" t="inlineStr"/>
      <c r="F144" t="inlineStr">
        <is>
          <t>G</t>
        </is>
      </c>
    </row>
    <row r="145">
      <c r="A145" s="7" t="inlineStr">
        <is>
          <t>G6</t>
        </is>
      </c>
      <c r="B145" s="7" t="inlineStr">
        <is>
          <t>Pelincir yang mungkin bersentuhan dengan produk (cth. pada punch mesin tablet, mesin softgel dan pengisi cecair) sesuai untuk sentuhan sampingan dengan produk, dan status halalnya disahkan.</t>
        </is>
      </c>
      <c r="C145" s="7" t="inlineStr">
        <is>
          <t>MPPHM 17(5)(d); MS 2424 kl. 4.9*</t>
        </is>
      </c>
      <c r="D145" s="7" t="inlineStr"/>
      <c r="E145" s="7" t="inlineStr"/>
      <c r="F145" t="inlineStr">
        <is>
          <t>G</t>
        </is>
      </c>
    </row>
    <row r="146">
      <c r="A146" s="7" t="inlineStr">
        <is>
          <t>G7</t>
        </is>
      </c>
      <c r="B146" s="7" t="inlineStr">
        <is>
          <t>Status halal bahan pencuci dan disinfektan untuk permukaan sentuhan produk disahkan, dan bahan ini digunakan mengikut prosedur serta dibilas sepenuhnya.</t>
        </is>
      </c>
      <c r="C146" s="7" t="inlineStr">
        <is>
          <t>MPPHM 17(5)(d); MS 2424 kl. 4.9*</t>
        </is>
      </c>
      <c r="D146" s="7" t="inlineStr"/>
      <c r="E146" s="7" t="inlineStr"/>
      <c r="F146" t="inlineStr">
        <is>
          <t>G</t>
        </is>
      </c>
    </row>
    <row r="147">
      <c r="A147" s="7" t="inlineStr">
        <is>
          <t>G8</t>
        </is>
      </c>
      <c r="B147" s="7" t="inlineStr">
        <is>
          <t>Peralatan sesuai dengan kegunaannya, dalam keadaan baik, bersih, bebas najis, tidak toksik atau berkarat, dan direka bentuk untuk memudahkan pembersihan serta mengurangkan pencemaran.</t>
        </is>
      </c>
      <c r="C147" s="7" t="inlineStr">
        <is>
          <t>MPPHM 17(5)(d), 17(5)(g); PKDK 1984 per. 21(1)</t>
        </is>
      </c>
      <c r="D147" s="7" t="inlineStr"/>
      <c r="E147" s="7" t="inlineStr"/>
      <c r="F147" t="inlineStr">
        <is>
          <t>G</t>
        </is>
      </c>
    </row>
    <row r="148">
      <c r="A148" s="7" t="inlineStr">
        <is>
          <t>G9</t>
        </is>
      </c>
      <c r="B148" s="7" t="inlineStr">
        <is>
          <t>Tiada peralatan yang berlabel atau berimplikasi negatif (cth. berlabel jenama arak).</t>
        </is>
      </c>
      <c r="C148" s="7" t="inlineStr">
        <is>
          <t>MPPHM 17(5)(b)</t>
        </is>
      </c>
      <c r="D148" s="7" t="inlineStr"/>
      <c r="E148" s="7" t="inlineStr"/>
      <c r="F148" t="inlineStr">
        <is>
          <t>G</t>
        </is>
      </c>
    </row>
    <row r="149">
      <c r="A149" s="7" t="inlineStr">
        <is>
          <t>G10</t>
        </is>
      </c>
      <c r="B149" s="7" t="inlineStr">
        <is>
          <t>Prosedur dan jadual pembersihan serta penyelenggaraan berkala dilaksanakan, dan rekod pembersihan peralatan disimpan.</t>
        </is>
      </c>
      <c r="C149" s="7" t="inlineStr">
        <is>
          <t>MPPHM 17(5)(e); PKDK 1984 per. 21(2)</t>
        </is>
      </c>
      <c r="D149" s="7" t="inlineStr"/>
      <c r="E149" s="7" t="inlineStr"/>
      <c r="F149" t="inlineStr">
        <is>
          <t>G</t>
        </is>
      </c>
    </row>
    <row r="150">
      <c r="A150" s="7" t="inlineStr">
        <is>
          <t>G11</t>
        </is>
      </c>
      <c r="B150" s="7" t="inlineStr">
        <is>
          <t>Peralatan yang rosak atau tidak digunakan dikenal pasti, dialihkan atau diasingkan.</t>
        </is>
      </c>
      <c r="C150" s="7" t="inlineStr">
        <is>
          <t>MPPHM 17(5)(f)</t>
        </is>
      </c>
      <c r="D150" s="7" t="inlineStr"/>
      <c r="E150" s="7" t="inlineStr"/>
      <c r="F150" t="inlineStr">
        <is>
          <t>G</t>
        </is>
      </c>
    </row>
    <row r="151">
      <c r="A151" s="4" t="inlineStr">
        <is>
          <t>Bahagian H: Kawalan Kualiti Halal &amp; Analisis Makmal</t>
        </is>
      </c>
      <c r="B151" s="5" t="n"/>
      <c r="C151" s="5" t="n"/>
      <c r="D151" s="5" t="n"/>
      <c r="E151" s="6" t="n"/>
    </row>
    <row r="152" ht="26" customHeight="1">
      <c r="A152" s="2" t="inlineStr">
        <is>
          <t>Semak spesifikasi bahan, rekod pelepasan kelompok, pelan persampelan, laporan analisis makmal, sampel rujukan dan sampel simpanan, kemudian periksa reagen dan media di makmal QC serta media pemantauan di kawasan bersih.</t>
        </is>
      </c>
    </row>
    <row r="153">
      <c r="A153" s="7" t="inlineStr">
        <is>
          <t>H1</t>
        </is>
      </c>
      <c r="B153" s="7" t="inlineStr">
        <is>
          <t>Jabatan kawalan kualiti diselia oleh personel yang berkelayakan dan mengawal bahan, langkah pengilangan dan kualiti produk siap. Spesifikasi bahan merangkumi keperluan halal (sumber, sijil halal dan pengisytiharan pengeluar).</t>
        </is>
      </c>
      <c r="C153" s="7" t="inlineStr">
        <is>
          <t>PKDK 1984 per. 23; PIC/S GMP Bab 6; MS 2424 kl. 4.5*</t>
        </is>
      </c>
      <c r="D153" s="7" t="inlineStr"/>
      <c r="E153" s="7" t="inlineStr"/>
      <c r="F153" t="inlineStr">
        <is>
          <t>H</t>
        </is>
      </c>
    </row>
    <row r="154">
      <c r="A154" s="7" t="inlineStr">
        <is>
          <t>H2</t>
        </is>
      </c>
      <c r="B154" s="7" t="inlineStr">
        <is>
          <t>Sebelum melepaskan kelompok produk siap, QA mengesahkan bahawa status halal semua bahan yang digunakan telah disahkan.</t>
        </is>
      </c>
      <c r="C154" s="7" t="inlineStr">
        <is>
          <t>MS 2424 kl. 4.5*; PIC/S GMP Bab 1</t>
        </is>
      </c>
      <c r="D154" s="7" t="inlineStr"/>
      <c r="E154" s="7" t="inlineStr"/>
      <c r="F154" t="inlineStr">
        <is>
          <t>H</t>
        </is>
      </c>
    </row>
    <row r="155">
      <c r="A155" s="7" t="inlineStr">
        <is>
          <t>H3</t>
        </is>
      </c>
      <c r="B155" s="7" t="inlineStr">
        <is>
          <t>HAS: prosedur analisis makmal bertulis tersedia, dengan pelan persampelan berasaskan risiko bagi bahan kritikal halal (cth. gelatin, kapsul, gliserin, stearat, dan bahan bersumber haiwan yang tiada sijil).</t>
        </is>
      </c>
      <c r="C155" s="7" t="inlineStr">
        <is>
          <t>MHMS 5(11); MS 2424 kl. 4.5*</t>
        </is>
      </c>
      <c r="D155" s="7" t="inlineStr"/>
      <c r="E155" s="7" t="inlineStr"/>
      <c r="F155" t="inlineStr">
        <is>
          <t>H</t>
        </is>
      </c>
    </row>
    <row r="156">
      <c r="A156" s="7" t="inlineStr">
        <is>
          <t>H4</t>
        </is>
      </c>
      <c r="B156" s="7" t="inlineStr">
        <is>
          <t>Analisis dibuat di makmal yang ditetapkan, iaitu Malaysia Halal Analysis Centre (MyHAC), Jabatan Kimia Malaysia, atau makmal panel halal yang dilantik JAKIM.</t>
        </is>
      </c>
      <c r="C156" s="7" t="inlineStr">
        <is>
          <t>MHMS 5(11); MPPHM 55</t>
        </is>
      </c>
      <c r="D156" s="7" t="inlineStr"/>
      <c r="E156" s="7" t="inlineStr"/>
      <c r="F156" t="inlineStr">
        <is>
          <t>H</t>
        </is>
      </c>
    </row>
    <row r="157">
      <c r="A157" s="7" t="inlineStr">
        <is>
          <t>H5</t>
        </is>
      </c>
      <c r="B157" s="7" t="inlineStr">
        <is>
          <t>Sampel bagi ujian DNA diambil dan disediakan mengikut kaedah yang ditetapkan, dan setiap sampel dikenal pasti dengan nombor lot bahan atau nombor kelompok.</t>
        </is>
      </c>
      <c r="C157" s="7" t="inlineStr">
        <is>
          <t>MS 2627 kl. 7*; MHMS 5(11)</t>
        </is>
      </c>
      <c r="D157" s="7" t="inlineStr"/>
      <c r="E157" s="7" t="inlineStr"/>
      <c r="F157" t="inlineStr">
        <is>
          <t>H</t>
        </is>
      </c>
    </row>
    <row r="158">
      <c r="A158" s="7" t="inlineStr">
        <is>
          <t>H6</t>
        </is>
      </c>
      <c r="B158" s="7" t="inlineStr">
        <is>
          <t>Ujian pengesanan DNA babi menggunakan kaedah MS 2627:2017 atau kaedah setara yang telah divalidasi, dan laporan ujian menyatakan kaedah serta keputusan.</t>
        </is>
      </c>
      <c r="C158" s="7" t="inlineStr">
        <is>
          <t>MS 2627 kl. 9*, 10*, 11*</t>
        </is>
      </c>
      <c r="D158" s="7" t="inlineStr"/>
      <c r="E158" s="7" t="inlineStr"/>
      <c r="F158" t="inlineStr">
        <is>
          <t>H</t>
        </is>
      </c>
    </row>
    <row r="159">
      <c r="A159" s="7" t="inlineStr">
        <is>
          <t>H7</t>
        </is>
      </c>
      <c r="B159" s="7" t="inlineStr">
        <is>
          <t>Kandungan alkohol (etanol) dalam bahan atau produk akhir diuji apabila perlu (cth. produk cecair dan ekstrak herba).</t>
        </is>
      </c>
      <c r="C159" s="7" t="inlineStr">
        <is>
          <t>MHMS 5(11)</t>
        </is>
      </c>
      <c r="D159" s="7" t="inlineStr"/>
      <c r="E159" s="7" t="inlineStr"/>
      <c r="F159" t="inlineStr">
        <is>
          <t>H</t>
        </is>
      </c>
    </row>
    <row r="160">
      <c r="A160" s="7" t="inlineStr">
        <is>
          <t>H8</t>
        </is>
      </c>
      <c r="B160" s="7" t="inlineStr">
        <is>
          <t>Skop analisis makmal dipilih mengikut bahan kritikal: selain DNA babi dan alkohol, analisis fizikal (cth. bulu berus), profil dan penentuan sumber protein (cth. gelatin, kolagen), serta profil dan penentuan sumber lemak dan minyak (cth. bahan terbitan lemak) dibuat apabila perlu.</t>
        </is>
      </c>
      <c r="C160" s="7" t="inlineStr">
        <is>
          <t>MHMS 5(11)(b), 5(11)(d); MS 2424 kl. 4.5*</t>
        </is>
      </c>
      <c r="D160" s="7" t="inlineStr"/>
      <c r="E160" s="7" t="inlineStr"/>
      <c r="F160" t="inlineStr">
        <is>
          <t>H</t>
        </is>
      </c>
    </row>
    <row r="161">
      <c r="A161" s="7" t="inlineStr">
        <is>
          <t>H9</t>
        </is>
      </c>
      <c r="B161" s="7" t="inlineStr">
        <is>
          <t>Produk semula jadi: rekod ujian produk siap menunjukkan kandungan logam berat tidak melebihi had dalam Jadual I PKDK 1984, dan produk tidak dicampur palsu dengan bahan yang tidak diisytiharkan (cth. racun berjadual).</t>
        </is>
      </c>
      <c r="C161" s="7" t="inlineStr">
        <is>
          <t>PKDK 1984 per. 7(1A)(h); AJD 1952 s. 10(1)(a), 15; Perintah Takrif Halal 2011 perenggan 3(1)</t>
        </is>
      </c>
      <c r="D161" s="7" t="inlineStr"/>
      <c r="E161" s="7" t="inlineStr"/>
      <c r="F161" t="inlineStr">
        <is>
          <t>H</t>
        </is>
      </c>
    </row>
    <row r="162">
      <c r="A162" s="7" t="inlineStr">
        <is>
          <t>H10</t>
        </is>
      </c>
      <c r="B162" s="7" t="inlineStr">
        <is>
          <t>Jika keputusan ujian positif atau meragukan, bahan atau kelompok berkenaan ditahan dan disiasat, dan tindakan pembetulan (termasuk penarikan balik jika perlu) diambil. Rekod analisis disimpan.</t>
        </is>
      </c>
      <c r="C162" s="7" t="inlineStr">
        <is>
          <t>MHMS 5(9), 5(11); PIC/S GMP Bab 8</t>
        </is>
      </c>
      <c r="D162" s="7" t="inlineStr"/>
      <c r="E162" s="7" t="inlineStr"/>
      <c r="F162" t="inlineStr">
        <is>
          <t>H</t>
        </is>
      </c>
    </row>
    <row r="163">
      <c r="A163" s="7" t="inlineStr">
        <is>
          <t>H11</t>
        </is>
      </c>
      <c r="B163" s="7" t="inlineStr">
        <is>
          <t>Sampel rujukan bahan permulaan (termasuk bahan kritikal halal seperti gelatin dan cangkerang kapsul) dan sampel simpanan setiap kelompok produk siap disimpan dan dapat dikesan mengikut lot atau kelompok, supaya analisis halal boleh dibuat jika timbul aduan atau keraguan.</t>
        </is>
      </c>
      <c r="C163" s="7" t="inlineStr">
        <is>
          <t>PIC/S GMP Bab 6; MHMS 5(11); MS 2424 kl. 4.5*</t>
        </is>
      </c>
      <c r="D163" s="7" t="inlineStr"/>
      <c r="E163" s="7" t="inlineStr"/>
      <c r="F163" t="inlineStr">
        <is>
          <t>H</t>
        </is>
      </c>
    </row>
    <row r="164">
      <c r="A164" s="7" t="inlineStr">
        <is>
          <t>H12</t>
        </is>
      </c>
      <c r="B164" s="7" t="inlineStr">
        <is>
          <t>Sumber reagen, media kultur, bahan rujukan dan kit ujian di makmal QC disemak, dan tiada bahan tidak halal (termasuk bahan bersumber najis mughallazah) disimpan atau digunakan di premis.</t>
        </is>
      </c>
      <c r="C164" s="7" t="inlineStr">
        <is>
          <t>MPPHM 17(8)(a); MS 2424 kl. 4.12*</t>
        </is>
      </c>
      <c r="D164" s="7" t="inlineStr"/>
      <c r="E164" s="7" t="inlineStr"/>
      <c r="F164" t="inlineStr">
        <is>
          <t>H</t>
        </is>
      </c>
    </row>
    <row r="165">
      <c r="A165" s="7" t="inlineStr">
        <is>
          <t>H13</t>
        </is>
      </c>
      <c r="B165" s="7" t="inlineStr">
        <is>
          <t>Produk steril dan kawasan bersih (jika berkaitan): media mikrobiologi yang dibawa masuk ke kawasan pengeluaran, iaitu plat sentuh dan plat enap untuk pemantauan persekitaran serta media untuk simulasi proses aseptik (media fill) pada talian pengisian, mempunyai sijil halal atau dokumen yang menunjukkan pepton dan enzim pencernaannya tidak bersumber babi atau haiwan tidak halal (atau media bebas haiwan digunakan).</t>
        </is>
      </c>
      <c r="C165" s="7" t="inlineStr">
        <is>
          <t>MPPHM 17(3)(b), 17(5)(a); MHMS 5(6); MS 2424 kl. 4.9*</t>
        </is>
      </c>
      <c r="D165" s="7" t="inlineStr"/>
      <c r="E165" s="7" t="inlineStr"/>
      <c r="F165" t="inlineStr">
        <is>
          <t>H</t>
        </is>
      </c>
    </row>
    <row r="166">
      <c r="A166" s="4" t="inlineStr">
        <is>
          <t>Bahagian I: Pembungkusan, Pelabelan, Logo Halal &amp; Sijil</t>
        </is>
      </c>
      <c r="B166" s="5" t="n"/>
      <c r="C166" s="5" t="n"/>
      <c r="D166" s="5" t="n"/>
      <c r="E166" s="6" t="n"/>
    </row>
    <row r="167" ht="26" customHeight="1">
      <c r="A167" s="2" t="inlineStr">
        <is>
          <t>Periksa bahan pembungkusan di stor dan di talian pembungkusan, label, karton dan sisipan bungkusan produk siap, kelulusan NPRA bagi logo halal, sijil SPHM, serta iklan dan bahan promosi.</t>
        </is>
      </c>
    </row>
    <row r="168">
      <c r="A168" s="7" t="inlineStr">
        <is>
          <t>I1</t>
        </is>
      </c>
      <c r="B168" s="7" t="inlineStr">
        <is>
          <t>Bahan pembungkusan primer dan sekunder (botol, tudung, blister/foil, karton, label, gam dan dakwat) halal, tidak mencemar dan selamat. Bahan yang mungkin bersumber haiwan (cth. gam haiwan, agen gelincir stearat dalam plastik, atau dakwat syelak) mempunyai dokumen sokongan.</t>
        </is>
      </c>
      <c r="C168" s="7" t="inlineStr">
        <is>
          <t>MPPHM 17(6)(a); MS 2424 kl. 4.17*; PIC/S GMP Bab 5</t>
        </is>
      </c>
      <c r="D168" s="7" t="inlineStr"/>
      <c r="E168" s="7" t="inlineStr"/>
      <c r="F168" t="inlineStr">
        <is>
          <t>I</t>
        </is>
      </c>
    </row>
    <row r="169">
      <c r="A169" s="7" t="inlineStr">
        <is>
          <t>I2</t>
        </is>
      </c>
      <c r="B169" s="7" t="inlineStr">
        <is>
          <t>Reka bentuk bungkusan dan label tidak bercanggah dengan Hukum Syarak: tiada nama Allah atau istilah keagamaan, tiada gambar haiwan najis mughallazah (cth. kartun anjing atau babi pada vitamin kanak-kanak), tiada gambar atau grafik lucah, dan tiada unsur negatif.</t>
        </is>
      </c>
      <c r="C169" s="7" t="inlineStr">
        <is>
          <t>MPPHM 17(6)(b), 17(6)(c), 17(6)(d); DRGD Lampiran 19A (baris 16)</t>
        </is>
      </c>
      <c r="D169" s="7" t="inlineStr"/>
      <c r="E169" s="7" t="inlineStr"/>
      <c r="F169" t="inlineStr">
        <is>
          <t>I</t>
        </is>
      </c>
    </row>
    <row r="170">
      <c r="A170" s="7" t="inlineStr">
        <is>
          <t>I3</t>
        </is>
      </c>
      <c r="B170" s="7" t="inlineStr">
        <is>
          <t>Nama produk tidak merujuk kepada kandungan keagamaan (cth. 'Maksum', 'Mahmudah', 'Arifbillah') atau kepercayaan karut (cth. 'miracle', 'magic'), dan label, karton luar serta sisipan bungkusan tidak memetik al-Quran, hadis atau kitab agama (cth. hadis tentang habbatus sauda pada produk semula jadi).</t>
        </is>
      </c>
      <c r="C170" s="7" t="inlineStr">
        <is>
          <t>DRGD Lampiran 17 (kategori 8, 13), Lampiran 19A (baris 5); MPPHM 6(11), 17(6)(c)</t>
        </is>
      </c>
      <c r="D170" s="7" t="inlineStr"/>
      <c r="E170" s="7" t="inlineStr"/>
      <c r="F170" t="inlineStr">
        <is>
          <t>I</t>
        </is>
      </c>
    </row>
    <row r="171">
      <c r="A171" s="7" t="inlineStr">
        <is>
          <t>I4</t>
        </is>
      </c>
      <c r="B171" s="7" t="inlineStr">
        <is>
          <t>Bentuk produk tidak menyerupai haiwan najis mughallazah (cth. gumi atau tablet kunyah berbentuk anjing atau babi) dan tidak mengandungi unsur keagamaan.</t>
        </is>
      </c>
      <c r="C171" s="7" t="inlineStr">
        <is>
          <t>MPPHM 17(2)(a)</t>
        </is>
      </c>
      <c r="D171" s="7" t="inlineStr"/>
      <c r="E171" s="7" t="inlineStr"/>
      <c r="F171" t="inlineStr">
        <is>
          <t>I</t>
        </is>
      </c>
    </row>
    <row r="172">
      <c r="A172" s="7" t="inlineStr">
        <is>
          <t>I5</t>
        </is>
      </c>
      <c r="B172" s="7" t="inlineStr">
        <is>
          <t>Nama produk dan maklumat pada label sama dengan yang diisytiharkan dalam MYeHALAL.</t>
        </is>
      </c>
      <c r="C172" s="7" t="inlineStr">
        <is>
          <t>MPPHM 17(2)(c), 17(6)(e)</t>
        </is>
      </c>
      <c r="D172" s="7" t="inlineStr"/>
      <c r="E172" s="7" t="inlineStr"/>
      <c r="F172" t="inlineStr">
        <is>
          <t>I</t>
        </is>
      </c>
    </row>
    <row r="173">
      <c r="A173" s="7" t="inlineStr">
        <is>
          <t>I6</t>
        </is>
      </c>
      <c r="B173" s="7" t="inlineStr">
        <is>
          <t>Nama produk, nombor pendaftaran (MAL) dan butiran label sepadan dengan pendaftaran PBKD. Cetakan label, termasuk nombor pendaftaran, jelas dan kekal, dan nombor pendaftaran itu tidak digunakan bagi produk lain.</t>
        </is>
      </c>
      <c r="C173" s="7" t="inlineStr">
        <is>
          <t>MPPHM 17(6)(f); PKDK 1984 per. 7; DRGD Lampiran 19 (parameter 10)</t>
        </is>
      </c>
      <c r="D173" s="7" t="inlineStr"/>
      <c r="E173" s="7" t="inlineStr"/>
      <c r="F173" t="inlineStr">
        <is>
          <t>I</t>
        </is>
      </c>
    </row>
    <row r="174">
      <c r="A174" s="7" t="inlineStr">
        <is>
          <t>I7</t>
        </is>
      </c>
      <c r="B174" s="7" t="inlineStr">
        <is>
          <t>Label produk yang diproses dan dibungkus di Malaysia menggunakan Bahasa Melayu (terjemahan dibenarkan).</t>
        </is>
      </c>
      <c r="C174" s="7" t="inlineStr">
        <is>
          <t>MPPHM 17(6)(i)</t>
        </is>
      </c>
      <c r="D174" s="7" t="inlineStr"/>
      <c r="E174" s="7" t="inlineStr"/>
      <c r="F174" t="inlineStr">
        <is>
          <t>I</t>
        </is>
      </c>
    </row>
    <row r="175">
      <c r="A175" s="7" t="inlineStr">
        <is>
          <t>I8</t>
        </is>
      </c>
      <c r="B175" s="7" t="inlineStr">
        <is>
          <t>Sumber semua bahan bersumber haiwan (termasuk bahan aktif, eksipien dan gelatin) dinyatakan pada karton luar dan label bekas langsung, dan sepadan dengan spesies haiwan yang diisytiharkan dalam rekod pendaftaran PBKD serta sumber dalam senarai induk dan sijil halal bahan.</t>
        </is>
      </c>
      <c r="C175" s="7" t="inlineStr">
        <is>
          <t>DRGD Lampiran 19 (parameter 17), Lampiran 6 (5.4), Lampiran 7 (2.6.1); MHMS 5(7)</t>
        </is>
      </c>
      <c r="D175" s="7" t="inlineStr"/>
      <c r="E175" s="7" t="inlineStr"/>
      <c r="F175" t="inlineStr">
        <is>
          <t>I</t>
        </is>
      </c>
    </row>
    <row r="176">
      <c r="A176" s="7" t="inlineStr">
        <is>
          <t>I9</t>
        </is>
      </c>
      <c r="B176" s="7" t="inlineStr">
        <is>
          <t>Sumber cangkerang kapsul (cth. gelatin lembu atau HPMC) dinyatakan pada karton luar dan label bekas langsung.</t>
        </is>
      </c>
      <c r="C176" s="7" t="inlineStr">
        <is>
          <t>DRGD Lampiran 19 (parameter 18)</t>
        </is>
      </c>
      <c r="D176" s="7" t="inlineStr"/>
      <c r="E176" s="7" t="inlineStr"/>
      <c r="F176" t="inlineStr">
        <is>
          <t>I</t>
        </is>
      </c>
    </row>
    <row r="177">
      <c r="A177" s="7" t="inlineStr">
        <is>
          <t>I10</t>
        </is>
      </c>
      <c r="B177" s="7" t="inlineStr">
        <is>
          <t>Nama dan kandungan alkohol (jika ada) dinyatakan pada label.</t>
        </is>
      </c>
      <c r="C177" s="7" t="inlineStr">
        <is>
          <t>DRGD Lampiran 19 (parameter 16)</t>
        </is>
      </c>
      <c r="D177" s="7" t="inlineStr"/>
      <c r="E177" s="7" t="inlineStr"/>
      <c r="F177" t="inlineStr">
        <is>
          <t>I</t>
        </is>
      </c>
    </row>
    <row r="178">
      <c r="A178" s="7" t="inlineStr">
        <is>
          <t>I11</t>
        </is>
      </c>
      <c r="B178" s="7" t="inlineStr">
        <is>
          <t>Kandungan bersih (bilangan unit, berat atau isipadu) dan kekuatan produk sepadan dengan label.</t>
        </is>
      </c>
      <c r="C178" s="7" t="inlineStr">
        <is>
          <t>MPPHM 17(2)(f)</t>
        </is>
      </c>
      <c r="D178" s="7" t="inlineStr"/>
      <c r="E178" s="7" t="inlineStr"/>
      <c r="F178" t="inlineStr">
        <is>
          <t>I</t>
        </is>
      </c>
    </row>
    <row r="179">
      <c r="A179" s="7" t="inlineStr">
        <is>
          <t>I12</t>
        </is>
      </c>
      <c r="B179" s="7" t="inlineStr">
        <is>
          <t>Tiada pernyataan palsu atau mengelirukan pada bungkusan tentang sifat, komposisi atau asal produk, dan semua tuntutan mematuhi kelulusan pihak berkuasa serta piawaian berkaitan.</t>
        </is>
      </c>
      <c r="C179" s="7" t="inlineStr">
        <is>
          <t>AJD 1952 s. 10(1)(b); PKDK 1984 per. 7(1A)(e); MPPHM 17(6)(g), 17(6)(h)</t>
        </is>
      </c>
      <c r="D179" s="7" t="inlineStr"/>
      <c r="E179" s="7" t="inlineStr"/>
      <c r="F179" t="inlineStr">
        <is>
          <t>I</t>
        </is>
      </c>
    </row>
    <row r="180">
      <c r="A180" s="7" t="inlineStr">
        <is>
          <t>I13</t>
        </is>
      </c>
      <c r="B180" s="7" t="inlineStr">
        <is>
          <t>Label produk yang memaparkan logo halal menunjukkan nama produk, nama dan alamat pemegang SPHM, serta Logo Halal Malaysia berserta nombor MS (MS 2424) dan 10 digit akhir nombor rujukan fail.</t>
        </is>
      </c>
      <c r="C180" s="7" t="inlineStr">
        <is>
          <t>MPPHM 17(6)(j); MS 2424 kl. 7*</t>
        </is>
      </c>
      <c r="D180" s="7" t="inlineStr"/>
      <c r="E180" s="7" t="inlineStr"/>
      <c r="F180" t="inlineStr">
        <is>
          <t>I</t>
        </is>
      </c>
    </row>
    <row r="181">
      <c r="A181" s="7" t="inlineStr">
        <is>
          <t>I14</t>
        </is>
      </c>
      <c r="B181" s="7" t="inlineStr">
        <is>
          <t>Logo halal hanya dipaparkan pada label produk bukan racun berjadual (OTC), suplemen kesihatan dan produk semula jadi yang disijilkan. Produk racun berjadual yang dipasarkan di Malaysia tidak memaparkan logo halal pada label.</t>
        </is>
      </c>
      <c r="C181" s="7" t="inlineStr">
        <is>
          <t>DRGD 7.14</t>
        </is>
      </c>
      <c r="D181" s="7" t="inlineStr"/>
      <c r="E181" s="7" t="inlineStr"/>
      <c r="F181" t="inlineStr">
        <is>
          <t>I</t>
        </is>
      </c>
    </row>
    <row r="182">
      <c r="A182" s="7" t="inlineStr">
        <is>
          <t>I15</t>
        </is>
      </c>
      <c r="B182" s="7" t="inlineStr">
        <is>
          <t>Racun berjadual untuk eksport: logo halal hanya dipaparkan jika dibenarkan oleh negara pengimport dan produk itu disijilkan halal.</t>
        </is>
      </c>
      <c r="C182" s="7" t="inlineStr">
        <is>
          <t>DRGD 7.14</t>
        </is>
      </c>
      <c r="D182" s="7" t="inlineStr"/>
      <c r="E182" s="7" t="inlineStr"/>
      <c r="F182" t="inlineStr">
        <is>
          <t>I</t>
        </is>
      </c>
    </row>
    <row r="183">
      <c r="A183" s="7" t="inlineStr">
        <is>
          <t>I16</t>
        </is>
      </c>
      <c r="B183" s="7" t="inlineStr">
        <is>
          <t>Produk untuk eksport yang memaparkan logo halal selain Logo Halal Malaysia (cth. logo badan Islam negara pengimport) mempunyai sijil halal yang sah daripada badan itu, dan label dengan logo badan yang tidak diiktiraf JAKIM tidak digunakan bagi produk yang dipasarkan di Malaysia.</t>
        </is>
      </c>
      <c r="C183" s="7" t="inlineStr">
        <is>
          <t>DRGD 7.14</t>
        </is>
      </c>
      <c r="D183" s="7" t="inlineStr"/>
      <c r="E183" s="7" t="inlineStr"/>
      <c r="F183" t="inlineStr">
        <is>
          <t>I</t>
        </is>
      </c>
    </row>
    <row r="184">
      <c r="A184" s="7" t="inlineStr">
        <is>
          <t>I17</t>
        </is>
      </c>
      <c r="B184" s="7" t="inlineStr">
        <is>
          <t>Kelulusan variasi daripada NPRA (disokong salinan sijil halal) diperoleh sebelum logo halal ditambah pada label produk berdaftar, dan logo dalam bentuk pelekat hanya digunakan mengikut syarat DRGD.</t>
        </is>
      </c>
      <c r="C184" s="7" t="inlineStr">
        <is>
          <t>DRGD 7.14, Lampiran 19; PKDK 1984 per. 7B</t>
        </is>
      </c>
      <c r="D184" s="7" t="inlineStr"/>
      <c r="E184" s="7" t="inlineStr"/>
      <c r="F184" t="inlineStr">
        <is>
          <t>I</t>
        </is>
      </c>
    </row>
    <row r="185">
      <c r="A185" s="7" t="inlineStr">
        <is>
          <t>I18</t>
        </is>
      </c>
      <c r="B185" s="7" t="inlineStr">
        <is>
          <t>Logo Halal Malaysia digunakan tanpa diubah bentuk, warna atau perkadarannya, dan hanya pada produk yang tersenarai dalam sijil serta dikeluarkan dalam tempoh sah sijil.</t>
        </is>
      </c>
      <c r="C185" s="7" t="inlineStr">
        <is>
          <t>MPPHM 40, 41; Perintah Perakuan &amp; Penandaan Halal 2011 perenggan 4(1), 6</t>
        </is>
      </c>
      <c r="D185" s="7" t="inlineStr"/>
      <c r="E185" s="7" t="inlineStr"/>
      <c r="F185" t="inlineStr">
        <is>
          <t>I</t>
        </is>
      </c>
    </row>
    <row r="186">
      <c r="A186" s="7" t="inlineStr">
        <is>
          <t>I19</t>
        </is>
      </c>
      <c r="B186" s="7" t="inlineStr">
        <is>
          <t>Stok label dan karton berlogo halal dikawal. Label yang tidak lagi sah (cth. selepas sijil tamat tempoh atau produk digugurkan) diasingkan atau dimusnahkan dengan rekod.</t>
        </is>
      </c>
      <c r="C186" s="7" t="inlineStr">
        <is>
          <t>MPPHM 41; PIC/S GMP Bab 5</t>
        </is>
      </c>
      <c r="D186" s="7" t="inlineStr"/>
      <c r="E186" s="7" t="inlineStr"/>
      <c r="F186" t="inlineStr">
        <is>
          <t>I</t>
        </is>
      </c>
    </row>
    <row r="187">
      <c r="A187" s="7" t="inlineStr">
        <is>
          <t>I20</t>
        </is>
      </c>
      <c r="B187" s="7" t="inlineStr">
        <is>
          <t>Tiada tanda atau pernyataan halal buatan sendiri (cth. 'Ditanggung Halal', 'Sesuai untuk Muslim' atau 'Bebas Babi') pada label, iklan, laman web atau media sosial bagi produk yang tidak disijilkan, dan tiada pernyataan negatif seperti 'bebas bahan haiwan' pada label produk berdaftar.</t>
        </is>
      </c>
      <c r="C187" s="7" t="inlineStr">
        <is>
          <t>APD 2011 s. 28, 29; Perintah Perakuan &amp; Penandaan Halal 2011 perenggan 4(1); DRGD Lampiran 19A (baris 20)</t>
        </is>
      </c>
      <c r="D187" s="7" t="inlineStr"/>
      <c r="E187" s="7" t="inlineStr"/>
      <c r="F187" t="inlineStr">
        <is>
          <t>I</t>
        </is>
      </c>
    </row>
    <row r="188">
      <c r="A188" s="7" t="inlineStr">
        <is>
          <t>I21</t>
        </is>
      </c>
      <c r="B188" s="7" t="inlineStr">
        <is>
          <t>Logo atau sijil halal milik pembekal bahan atau badan pensijilan lain tidak digunakan untuk memberi gambaran bahawa produk siap telah disijilkan.</t>
        </is>
      </c>
      <c r="C188" s="7" t="inlineStr">
        <is>
          <t>APD 2011 s. 28; Perintah Perakuan &amp; Penandaan Halal 2011 perenggan 4(1)</t>
        </is>
      </c>
      <c r="D188" s="7" t="inlineStr"/>
      <c r="E188" s="7" t="inlineStr"/>
      <c r="F188" t="inlineStr">
        <is>
          <t>I</t>
        </is>
      </c>
    </row>
    <row r="189">
      <c r="A189" s="7" t="inlineStr">
        <is>
          <t>I22</t>
        </is>
      </c>
      <c r="B189" s="7" t="inlineStr">
        <is>
          <t>Produk dagangan import (jika ada) yang diperihalkan sebagai halal diperakukan oleh JAKIM/JAIN/MAIN atau oleh badan pensijilan halal luar negara yang diiktiraf JAKIM, dan nama badan pensijilan luar negara itu ditanda pada produk.</t>
        </is>
      </c>
      <c r="C189" s="7" t="inlineStr">
        <is>
          <t>Perintah Perakuan &amp; Penandaan Halal 2011 perenggan 5(1), 5(2); MPPHM 5(9)</t>
        </is>
      </c>
      <c r="D189" s="7" t="inlineStr"/>
      <c r="E189" s="7" t="inlineStr"/>
      <c r="F189" t="inlineStr">
        <is>
          <t>I</t>
        </is>
      </c>
    </row>
    <row r="190">
      <c r="A190" s="7" t="inlineStr">
        <is>
          <t>I23</t>
        </is>
      </c>
      <c r="B190" s="7" t="inlineStr">
        <is>
          <t>Sijil SPHM masih sah, dan skop produk serta alamat premis pada sijil sepadan dengan produk dan premis yang diaudit. Sijil tidak digunakan bagi produk atau premis lain.</t>
        </is>
      </c>
      <c r="C190" s="7" t="inlineStr">
        <is>
          <t>MPPHM 35, 36; MS 2424 kl. 6*</t>
        </is>
      </c>
      <c r="D190" s="7" t="inlineStr"/>
      <c r="E190" s="7" t="inlineStr"/>
      <c r="F190" t="inlineStr">
        <is>
          <t>I</t>
        </is>
      </c>
    </row>
    <row r="191">
      <c r="A191" s="4" t="inlineStr">
        <is>
          <t>Bahagian J: Pengangkutan &amp; Pengedaran</t>
        </is>
      </c>
      <c r="B191" s="5" t="n"/>
      <c r="C191" s="5" t="n"/>
      <c r="D191" s="5" t="n"/>
      <c r="E191" s="6" t="n"/>
    </row>
    <row r="192" ht="26" customHeight="1">
      <c r="A192" s="2" t="inlineStr">
        <is>
          <t>Periksa kenderaan syarikat dan kawasan muatan, kontrak pengangkutan pihak ketiga, dan rekod sertu kenderaan (jika ada).</t>
        </is>
      </c>
    </row>
    <row r="193">
      <c r="A193" s="7" t="inlineStr">
        <is>
          <t>J1</t>
        </is>
      </c>
      <c r="B193" s="7" t="inlineStr">
        <is>
          <t>Kenderaan digunakan untuk bahan dan produk halal sahaja, dan produk tidak halal (cth. produk heparin milik pihak lain) tidak dimuatkan bersama.</t>
        </is>
      </c>
      <c r="C193" s="7" t="inlineStr">
        <is>
          <t>MPPHM 17(7)(a); MS 2424 kl. 4.11*</t>
        </is>
      </c>
      <c r="D193" s="7" t="inlineStr"/>
      <c r="E193" s="7" t="inlineStr"/>
      <c r="F193" t="inlineStr">
        <is>
          <t>J</t>
        </is>
      </c>
    </row>
    <row r="194">
      <c r="A194" s="7" t="inlineStr">
        <is>
          <t>J2</t>
        </is>
      </c>
      <c r="B194" s="7" t="inlineStr">
        <is>
          <t>Kenderaan sesuai dengan sifat produk (cth. rantaian sejuk bagi vaksin, probiotik atau produk bersuhu terkawal), bersih dan terkawal, dan aktiviti pengangkutan mematuhi undang-undang berkaitan.</t>
        </is>
      </c>
      <c r="C194" s="7" t="inlineStr">
        <is>
          <t>MPPHM 17(7)(b), 17(7)(c), 17(7)(e); MS 2424 kl. 4.11*</t>
        </is>
      </c>
      <c r="D194" s="7" t="inlineStr"/>
      <c r="E194" s="7" t="inlineStr"/>
      <c r="F194" t="inlineStr">
        <is>
          <t>J</t>
        </is>
      </c>
    </row>
    <row r="195">
      <c r="A195" s="7" t="inlineStr">
        <is>
          <t>J3</t>
        </is>
      </c>
      <c r="B195" s="7" t="inlineStr">
        <is>
          <t>Pengangkutan pihak ketiga mempunyai kontrak bertulis yang merangkumi keperluan halal, dan pemegang SPHM logistik diutamakan.</t>
        </is>
      </c>
      <c r="C195" s="7" t="inlineStr">
        <is>
          <t>MPPHM 17(7)(d); MS 2424 kl. 4.18*; PIC/S GMP Bab 7</t>
        </is>
      </c>
      <c r="D195" s="7" t="inlineStr"/>
      <c r="E195" s="7" t="inlineStr"/>
      <c r="F195" t="inlineStr">
        <is>
          <t>J</t>
        </is>
      </c>
    </row>
    <row r="196">
      <c r="A196" s="7" t="inlineStr">
        <is>
          <t>J4</t>
        </is>
      </c>
      <c r="B196" s="7" t="inlineStr">
        <is>
          <t>Kenderaan yang tercemar najis mughallazah telah disertu, dan rekod sertu disimpan.</t>
        </is>
      </c>
      <c r="C196" s="7" t="inlineStr">
        <is>
          <t>MPPHM 17(7)(f); MHMS 5(12)</t>
        </is>
      </c>
      <c r="D196" s="7" t="inlineStr"/>
      <c r="E196" s="7" t="inlineStr"/>
      <c r="F196" t="inlineStr">
        <is>
          <t>J</t>
        </is>
      </c>
    </row>
    <row r="197">
      <c r="A197" s="4" t="inlineStr">
        <is>
          <t>Bahagian K: Kebersihan, Sanitasi &amp; Kawalan Perosak</t>
        </is>
      </c>
      <c r="B197" s="5" t="n"/>
      <c r="C197" s="5" t="n"/>
      <c r="D197" s="5" t="n"/>
      <c r="E197" s="6" t="n"/>
    </row>
    <row r="198" ht="26" customHeight="1">
      <c r="A198" s="2" t="inlineStr">
        <is>
          <t>Periksa tahap kebersihan keseluruhan dan program sanitasi, kemudahan basuh tangan, tandas, tong sampah, kawasan sisa dan rekod kawalan perosak.</t>
        </is>
      </c>
    </row>
    <row r="199">
      <c r="A199" s="7" t="inlineStr">
        <is>
          <t>K1</t>
        </is>
      </c>
      <c r="B199" s="7" t="inlineStr">
        <is>
          <t>Kawasan pengilangan dan premis dibersihkan mengikut program sanitasi dan jadual bertulis untuk mengekalkan keadaan baik dan bersih, dan rekod pelaksanaan program itu disimpan.</t>
        </is>
      </c>
      <c r="C199" s="7" t="inlineStr">
        <is>
          <t>MPPHM 17(10)(a); PKDK 1984 per. 20(3)</t>
        </is>
      </c>
      <c r="D199" s="7" t="inlineStr"/>
      <c r="E199" s="7" t="inlineStr"/>
      <c r="F199" t="inlineStr">
        <is>
          <t>K</t>
        </is>
      </c>
    </row>
    <row r="200">
      <c r="A200" s="7" t="inlineStr">
        <is>
          <t>K2</t>
        </is>
      </c>
      <c r="B200" s="7" t="inlineStr">
        <is>
          <t>Persekitaran luar premis bersih dan bebas daripada faktor pencemaran.</t>
        </is>
      </c>
      <c r="C200" s="7" t="inlineStr">
        <is>
          <t>MPPHM 17(10)(b)</t>
        </is>
      </c>
      <c r="D200" s="7" t="inlineStr"/>
      <c r="E200" s="7" t="inlineStr"/>
      <c r="F200" t="inlineStr">
        <is>
          <t>K</t>
        </is>
      </c>
    </row>
    <row r="201">
      <c r="A201" s="7" t="inlineStr">
        <is>
          <t>K3</t>
        </is>
      </c>
      <c r="B201" s="7" t="inlineStr">
        <is>
          <t>Kawalan perosak dibuat secara berkala oleh kontraktor atau pihak dalaman, dengan pelan lokasi umpan dan rekod, dan bahan kawalan perosak tidak mencemari bahan atau produk.</t>
        </is>
      </c>
      <c r="C201" s="7" t="inlineStr">
        <is>
          <t>MPPHM 17(10)(c); PIC/S GMP Bab 3</t>
        </is>
      </c>
      <c r="D201" s="7" t="inlineStr"/>
      <c r="E201" s="7" t="inlineStr"/>
      <c r="F201" t="inlineStr">
        <is>
          <t>K</t>
        </is>
      </c>
    </row>
    <row r="202">
      <c r="A202" s="7" t="inlineStr">
        <is>
          <t>K4</t>
        </is>
      </c>
      <c r="B202" s="7" t="inlineStr">
        <is>
          <t>Kemudahan basuh tangan di pintu masuk kawasan pengilangan dan di tandas berfungsi, dan dilengkapi sabun serta tisu atau pengering.</t>
        </is>
      </c>
      <c r="C202" s="7" t="inlineStr">
        <is>
          <t>MPPHM 17(10)(d)</t>
        </is>
      </c>
      <c r="D202" s="7" t="inlineStr"/>
      <c r="E202" s="7" t="inlineStr"/>
      <c r="F202" t="inlineStr">
        <is>
          <t>K</t>
        </is>
      </c>
    </row>
    <row r="203">
      <c r="A203" s="7" t="inlineStr">
        <is>
          <t>K5</t>
        </is>
      </c>
      <c r="B203" s="7" t="inlineStr">
        <is>
          <t>Tong sampah mencukupi, bertutup dan dalam keadaan baik (jenis injak kaki digalakkan).</t>
        </is>
      </c>
      <c r="C203" s="7" t="inlineStr">
        <is>
          <t>MPPHM 17(10)(e)</t>
        </is>
      </c>
      <c r="D203" s="7" t="inlineStr"/>
      <c r="E203" s="7" t="inlineStr"/>
      <c r="F203" t="inlineStr">
        <is>
          <t>K</t>
        </is>
      </c>
    </row>
    <row r="204">
      <c r="A204" s="7" t="inlineStr">
        <is>
          <t>K6</t>
        </is>
      </c>
      <c r="B204" s="7" t="inlineStr">
        <is>
          <t>Tandas mencukupi, bersih dan tidak berbau, mempunyai prosedur pembersihan, dan tidak membuka terus ke kawasan pengilangan.</t>
        </is>
      </c>
      <c r="C204" s="7" t="inlineStr">
        <is>
          <t>MPPHM 17(10)(f); MS 2424 kl. 4.13*</t>
        </is>
      </c>
      <c r="D204" s="7" t="inlineStr"/>
      <c r="E204" s="7" t="inlineStr"/>
      <c r="F204" t="inlineStr">
        <is>
          <t>K</t>
        </is>
      </c>
    </row>
    <row r="205">
      <c r="A205" s="7" t="inlineStr">
        <is>
          <t>K7</t>
        </is>
      </c>
      <c r="B205" s="7" t="inlineStr">
        <is>
          <t>Prosedur pelupusan sisa (termasuk produk ditolak dan sisa farmaseutikal) dilaksanakan mengikut undang-undang, dan sisa tidak disimpan berhampiran bahan atau produk.</t>
        </is>
      </c>
      <c r="C205" s="7" t="inlineStr">
        <is>
          <t>MPPHM 17(10)(g)</t>
        </is>
      </c>
      <c r="D205" s="7" t="inlineStr"/>
      <c r="E205" s="7" t="inlineStr"/>
      <c r="F205" t="inlineStr">
        <is>
          <t>K</t>
        </is>
      </c>
    </row>
    <row r="206">
      <c r="A206" s="4" t="inlineStr">
        <is>
          <t>Bahagian L: Pekerja, Kebersihan Diri, Latihan &amp; Kemudahan</t>
        </is>
      </c>
      <c r="B206" s="5" t="n"/>
      <c r="C206" s="5" t="n"/>
      <c r="D206" s="5" t="n"/>
      <c r="E206" s="6" t="n"/>
    </row>
    <row r="207" ht="26" customHeight="1">
      <c r="A207" s="2" t="inlineStr">
        <is>
          <t>Semak rekod kelayakan, pemeriksaan kesihatan dan latihan pekerja, perhatikan amalan kebersihan di bilik persalinan dan kawasan pengilangan, kemudian periksa surau, ruang rehat dan loker.</t>
        </is>
      </c>
    </row>
    <row r="208">
      <c r="A208" s="7" t="inlineStr">
        <is>
          <t>L1</t>
        </is>
      </c>
      <c r="B208" s="7" t="inlineStr">
        <is>
          <t>Pekerja mempunyai kelayakan, pengalaman dan kecekapan teknikal yang sesuai dengan tugas masing-masing.</t>
        </is>
      </c>
      <c r="C208" s="7" t="inlineStr">
        <is>
          <t>PKDK 1984 per. 19; MS 2424 kl. 4.6*; PIC/S GMP Bab 2</t>
        </is>
      </c>
      <c r="D208" s="7" t="inlineStr"/>
      <c r="E208" s="7" t="inlineStr"/>
      <c r="F208" t="inlineStr">
        <is>
          <t>L</t>
        </is>
      </c>
    </row>
    <row r="209">
      <c r="A209" s="7" t="inlineStr">
        <is>
          <t>L2</t>
        </is>
      </c>
      <c r="B209" s="7" t="inlineStr">
        <is>
          <t>Pekerja menjalani pemeriksaan perubatan secara berkala, dan rekodnya disimpan.</t>
        </is>
      </c>
      <c r="C209" s="7" t="inlineStr">
        <is>
          <t>PKDK 1984 per. 19; PIC/S GMP Bab 2</t>
        </is>
      </c>
      <c r="D209" s="7" t="inlineStr"/>
      <c r="E209" s="7" t="inlineStr"/>
      <c r="F209" t="inlineStr">
        <is>
          <t>L</t>
        </is>
      </c>
    </row>
    <row r="210">
      <c r="A210" s="7" t="inlineStr">
        <is>
          <t>L3</t>
        </is>
      </c>
      <c r="B210" s="7" t="inlineStr">
        <is>
          <t>Pekerja menjaga kebersihan diri (cth. kuku pendek dan bersih, dan membasuh tangan sebelum masuk ke kawasan pengilangan dan selepas ke tandas).</t>
        </is>
      </c>
      <c r="C210" s="7" t="inlineStr">
        <is>
          <t>MPPHM 17(9)(b); MS 2424 kl. 4.8*; PIC/S GMP Bab 2</t>
        </is>
      </c>
      <c r="D210" s="7" t="inlineStr"/>
      <c r="E210" s="7" t="inlineStr"/>
      <c r="F210" t="inlineStr">
        <is>
          <t>L</t>
        </is>
      </c>
    </row>
    <row r="211">
      <c r="A211" s="7" t="inlineStr">
        <is>
          <t>L4</t>
        </is>
      </c>
      <c r="B211" s="7" t="inlineStr">
        <is>
          <t>Pakaian pekerja bersih, sopan dan sesuai, dan pakaian khas kawasan pengilangan dipakai mengikut prosedur persalinan (gowning).</t>
        </is>
      </c>
      <c r="C211" s="7" t="inlineStr">
        <is>
          <t>MPPHM 17(9)(c); PIC/S GMP Bab 2</t>
        </is>
      </c>
      <c r="D211" s="7" t="inlineStr"/>
      <c r="E211" s="7" t="inlineStr"/>
      <c r="F211" t="inlineStr">
        <is>
          <t>L</t>
        </is>
      </c>
    </row>
    <row r="212">
      <c r="A212" s="7" t="inlineStr">
        <is>
          <t>L5</t>
        </is>
      </c>
      <c r="B212" s="7" t="inlineStr">
        <is>
          <t>PPE (penutup kepala, sarung tangan, penutup muka dan kaca mata keselamatan) disediakan dan dipakai mengikut keperluan setiap kawasan.</t>
        </is>
      </c>
      <c r="C212" s="7" t="inlineStr">
        <is>
          <t>MPPHM 17(9)(e)</t>
        </is>
      </c>
      <c r="D212" s="7" t="inlineStr"/>
      <c r="E212" s="7" t="inlineStr"/>
      <c r="F212" t="inlineStr">
        <is>
          <t>L</t>
        </is>
      </c>
    </row>
    <row r="213">
      <c r="A213" s="7" t="inlineStr">
        <is>
          <t>L6</t>
        </is>
      </c>
      <c r="B213" s="7" t="inlineStr">
        <is>
          <t>Tiada barang peribadi, makanan, minuman atau ubat peribadi dibawa ke kawasan pengilangan dan penyimpanan.</t>
        </is>
      </c>
      <c r="C213" s="7" t="inlineStr">
        <is>
          <t>MPPHM 17(9)(d); PIC/S GMP Bab 2</t>
        </is>
      </c>
      <c r="D213" s="7" t="inlineStr"/>
      <c r="E213" s="7" t="inlineStr"/>
      <c r="F213" t="inlineStr">
        <is>
          <t>L</t>
        </is>
      </c>
    </row>
    <row r="214">
      <c r="A214" s="7" t="inlineStr">
        <is>
          <t>L7</t>
        </is>
      </c>
      <c r="B214" s="7" t="inlineStr">
        <is>
          <t>Tiada merokok, meludah atau perbuatan lain yang boleh mencemarkan produk.</t>
        </is>
      </c>
      <c r="C214" s="7" t="inlineStr">
        <is>
          <t>MPPHM 17(9)(f)</t>
        </is>
      </c>
      <c r="D214" s="7" t="inlineStr"/>
      <c r="E214" s="7" t="inlineStr"/>
      <c r="F214" t="inlineStr">
        <is>
          <t>L</t>
        </is>
      </c>
    </row>
    <row r="215">
      <c r="A215" s="7" t="inlineStr">
        <is>
          <t>L8</t>
        </is>
      </c>
      <c r="B215" s="7" t="inlineStr">
        <is>
          <t>Pengambilan pekerja mematuhi undang-undang, dan pekerja mematuhi kod etika serta amalan kebersihan yang baik.</t>
        </is>
      </c>
      <c r="C215" s="7" t="inlineStr">
        <is>
          <t>MPPHM 17(9)(g), 17(9)(h)</t>
        </is>
      </c>
      <c r="D215" s="7" t="inlineStr"/>
      <c r="E215" s="7" t="inlineStr"/>
      <c r="F215" t="inlineStr">
        <is>
          <t>L</t>
        </is>
      </c>
    </row>
    <row r="216">
      <c r="A216" s="7" t="inlineStr">
        <is>
          <t>L9</t>
        </is>
      </c>
      <c r="B216" s="7" t="inlineStr">
        <is>
          <t>Pelawat dan kontraktor diberi taklimat dan mematuhi peraturan kebersihan dan halal premis (cth. tidak membawa makanan tidak halal).</t>
        </is>
      </c>
      <c r="C216" s="7" t="inlineStr">
        <is>
          <t>MPPHM 17(8)(a); PIC/S GMP Bab 2</t>
        </is>
      </c>
      <c r="D216" s="7" t="inlineStr"/>
      <c r="E216" s="7" t="inlineStr"/>
      <c r="F216" t="inlineStr">
        <is>
          <t>L</t>
        </is>
      </c>
    </row>
    <row r="217">
      <c r="A217" s="7" t="inlineStr">
        <is>
          <t>L10</t>
        </is>
      </c>
      <c r="B217" s="7" t="inlineStr">
        <is>
          <t>Pekerja baharu menerima latihan kesedaran halal dalam tempoh 3 bulan pertama.</t>
        </is>
      </c>
      <c r="C217" s="7" t="inlineStr">
        <is>
          <t>MPPHM 17(12)(a); MHMS 5(8)</t>
        </is>
      </c>
      <c r="D217" s="7" t="inlineStr"/>
      <c r="E217" s="7" t="inlineStr"/>
      <c r="F217" t="inlineStr">
        <is>
          <t>L</t>
        </is>
      </c>
    </row>
    <row r="218">
      <c r="A218" s="7" t="inlineStr">
        <is>
          <t>L11</t>
        </is>
      </c>
      <c r="B218" s="7" t="inlineStr">
        <is>
          <t>Semua pekerja yang terlibat dalam pemprosesan menerima latihan kesedaran halal semula sekurang-kurangnya sekali setiap 3 tahun. Latihan meliputi konsep halal dan prosedur SPHM, dan dikendalikan oleh individu atau organisasi yang berdaftar dengan HPB JAKIM.</t>
        </is>
      </c>
      <c r="C218" s="7" t="inlineStr">
        <is>
          <t>MPPHM 17(12)(b), 17(12)(c); MHMS 5(8)</t>
        </is>
      </c>
      <c r="D218" s="7" t="inlineStr"/>
      <c r="E218" s="7" t="inlineStr"/>
      <c r="F218" t="inlineStr">
        <is>
          <t>L</t>
        </is>
      </c>
    </row>
    <row r="219">
      <c r="A219" s="7" t="inlineStr">
        <is>
          <t>L12</t>
        </is>
      </c>
      <c r="B219" s="7" t="inlineStr">
        <is>
          <t>HAS: keberkesanan latihan kesedaran halal dinilai (cth. melalui ujian sebelum dan selepas latihan).</t>
        </is>
      </c>
      <c r="C219" s="7" t="inlineStr">
        <is>
          <t>MHMS 5(8)</t>
        </is>
      </c>
      <c r="D219" s="7" t="inlineStr"/>
      <c r="E219" s="7" t="inlineStr"/>
      <c r="F219" t="inlineStr">
        <is>
          <t>L</t>
        </is>
      </c>
    </row>
    <row r="220">
      <c r="A220" s="7" t="inlineStr">
        <is>
          <t>L13</t>
        </is>
      </c>
      <c r="B220" s="7" t="inlineStr">
        <is>
          <t>HAS: ahli JKHD menerima latihan kompetensi halal sekurang-kurangnya sekali setiap 3 tahun daripada penyedia latihan berdaftar. Latihan merangkumi Syariah/fatwa, Piawaian Malaysia (MS 2424), MPPHM, MHMS, perundangan halal dan bahan kritikal.</t>
        </is>
      </c>
      <c r="C220" s="7" t="inlineStr">
        <is>
          <t>MPPHM 17(12)(e), 17(12)(f); MHMS 5(8)</t>
        </is>
      </c>
      <c r="D220" s="7" t="inlineStr"/>
      <c r="E220" s="7" t="inlineStr"/>
      <c r="F220" t="inlineStr">
        <is>
          <t>L</t>
        </is>
      </c>
    </row>
    <row r="221">
      <c r="A221" s="7" t="inlineStr">
        <is>
          <t>L14</t>
        </is>
      </c>
      <c r="B221" s="7" t="inlineStr">
        <is>
          <t>HAS: Pelan Operasi Latihan menyatakan jenis latihan, peserta, kekerapan, tarikh cadangan, tenaga pengajar dan rekod.</t>
        </is>
      </c>
      <c r="C221" s="7" t="inlineStr">
        <is>
          <t>MHMS 5(8)</t>
        </is>
      </c>
      <c r="D221" s="7" t="inlineStr"/>
      <c r="E221" s="7" t="inlineStr"/>
      <c r="F221" t="inlineStr">
        <is>
          <t>L</t>
        </is>
      </c>
    </row>
    <row r="222">
      <c r="A222" s="7" t="inlineStr">
        <is>
          <t>L15</t>
        </is>
      </c>
      <c r="B222" s="7" t="inlineStr">
        <is>
          <t>Latihan GMP berkala merangkumi topik halal yang berkaitan dengan tugas pekerja (cth. bahan kritikal, kawalan perubahan dan sertu).</t>
        </is>
      </c>
      <c r="C222" s="7" t="inlineStr">
        <is>
          <t>MS 2424 kl. 4.7*; PKDK 1984 per. 19; PIC/S GMP Bab 2</t>
        </is>
      </c>
      <c r="D222" s="7" t="inlineStr"/>
      <c r="E222" s="7" t="inlineStr"/>
      <c r="F222" t="inlineStr">
        <is>
          <t>L</t>
        </is>
      </c>
    </row>
    <row r="223">
      <c r="A223" s="7" t="inlineStr">
        <is>
          <t>L16</t>
        </is>
      </c>
      <c r="B223" s="7" t="inlineStr">
        <is>
          <t>Latihan atau taklimat halal diberikan kepada pembekal, pengangkut dan pihak berkaitan lain apabila perlu.</t>
        </is>
      </c>
      <c r="C223" s="7" t="inlineStr">
        <is>
          <t>MPPHM 17(12)(d)</t>
        </is>
      </c>
      <c r="D223" s="7" t="inlineStr"/>
      <c r="E223" s="7" t="inlineStr"/>
      <c r="F223" t="inlineStr">
        <is>
          <t>L</t>
        </is>
      </c>
    </row>
    <row r="224">
      <c r="A224" s="7" t="inlineStr">
        <is>
          <t>L17</t>
        </is>
      </c>
      <c r="B224" s="7" t="inlineStr">
        <is>
          <t>Rekod latihan disimpan, dikemas kini dan mudah dirujuk.</t>
        </is>
      </c>
      <c r="C224" s="7" t="inlineStr">
        <is>
          <t>MPPHM 17(12)(h); MHMS 5(8)</t>
        </is>
      </c>
      <c r="D224" s="7" t="inlineStr"/>
      <c r="E224" s="7" t="inlineStr"/>
      <c r="F224" t="inlineStr">
        <is>
          <t>L</t>
        </is>
      </c>
    </row>
    <row r="225">
      <c r="A225" s="7" t="inlineStr">
        <is>
          <t>L18</t>
        </is>
      </c>
      <c r="B225" s="7" t="inlineStr">
        <is>
          <t>Bilik atau ruang solat disediakan di lokasi yang munasabah, saiznya mencukupi, dan ia terjaga.</t>
        </is>
      </c>
      <c r="C225" s="7" t="inlineStr">
        <is>
          <t>MPPHM 17(11)(a)</t>
        </is>
      </c>
      <c r="D225" s="7" t="inlineStr"/>
      <c r="E225" s="7" t="inlineStr"/>
      <c r="F225" t="inlineStr">
        <is>
          <t>L</t>
        </is>
      </c>
    </row>
    <row r="226">
      <c r="A226" s="7" t="inlineStr">
        <is>
          <t>L19</t>
        </is>
      </c>
      <c r="B226" s="7" t="inlineStr">
        <is>
          <t>Pekerja Muslim, termasuk pekerja syif, diberi pelepasan dan masa yang munasabah untuk menunaikan solat fardu, termasuk solat Jumaat.</t>
        </is>
      </c>
      <c r="C226" s="7" t="inlineStr">
        <is>
          <t>MPPHM 17(11)(b)</t>
        </is>
      </c>
      <c r="D226" s="7" t="inlineStr"/>
      <c r="E226" s="7" t="inlineStr"/>
      <c r="F226" t="inlineStr">
        <is>
          <t>L</t>
        </is>
      </c>
    </row>
    <row r="227">
      <c r="A227" s="7" t="inlineStr">
        <is>
          <t>L20</t>
        </is>
      </c>
      <c r="B227" s="7" t="inlineStr">
        <is>
          <t>Bilik atau ruang persalinan (menukar pakaian) disediakan dengan sewajarnya untuk pekerja.</t>
        </is>
      </c>
      <c r="C227" s="7" t="inlineStr">
        <is>
          <t>MPPHM 17(11)(c)</t>
        </is>
      </c>
      <c r="D227" s="7" t="inlineStr"/>
      <c r="E227" s="7" t="inlineStr"/>
      <c r="F227" t="inlineStr">
        <is>
          <t>L</t>
        </is>
      </c>
    </row>
    <row r="228">
      <c r="A228" s="7" t="inlineStr">
        <is>
          <t>L21</t>
        </is>
      </c>
      <c r="B228" s="7" t="inlineStr">
        <is>
          <t>Ruang rehat dan tempat menyimpan barang peribadi (loker) disediakan di luar kawasan pengilangan.</t>
        </is>
      </c>
      <c r="C228" s="7" t="inlineStr">
        <is>
          <t>MPPHM 17(11)(d), 17(11)(e)</t>
        </is>
      </c>
      <c r="D228" s="7" t="inlineStr"/>
      <c r="E228" s="7" t="inlineStr"/>
      <c r="F228" t="inlineStr">
        <is>
          <t>L</t>
        </is>
      </c>
    </row>
    <row r="229">
      <c r="A229" s="4" t="inlineStr">
        <is>
          <t>Bahagian M: Penyumberan Luar, Aduan, Kebolehkesanan &amp; Penarikan Balik</t>
        </is>
      </c>
      <c r="B229" s="5" t="n"/>
      <c r="C229" s="5" t="n"/>
      <c r="D229" s="5" t="n"/>
      <c r="E229" s="6" t="n"/>
    </row>
    <row r="230" ht="26" customHeight="1">
      <c r="A230" s="2" t="inlineStr">
        <is>
          <t>Semak senarai aktiviti yang disumber luar, kontrak dan perjanjian teknikal, rekod aduan, prosedur kebolehkesanan dan penarikan balik, rekod pengedaran, dan rekod latihan penarikan balik.</t>
        </is>
      </c>
    </row>
    <row r="231">
      <c r="A231" s="7" t="inlineStr">
        <is>
          <t>M1</t>
        </is>
      </c>
      <c r="B231" s="7" t="inlineStr">
        <is>
          <t>Senarai semua aktiviti yang disumber luar (cth. pengilangan, pembungkusan, ujian makmal, penyimpanan, pengangkutan, kawalan perosak dan pembersihan) tersedia, dan risiko halal bagi setiap aktiviti telah dinilai.</t>
        </is>
      </c>
      <c r="C231" s="7" t="inlineStr">
        <is>
          <t>MS 2424 kl. 4.18*; PIC/S GMP Bab 7</t>
        </is>
      </c>
      <c r="D231" s="7" t="inlineStr"/>
      <c r="E231" s="7" t="inlineStr"/>
      <c r="F231" t="inlineStr">
        <is>
          <t>M</t>
        </is>
      </c>
    </row>
    <row r="232">
      <c r="A232" s="7" t="inlineStr">
        <is>
          <t>M2</t>
        </is>
      </c>
      <c r="B232" s="7" t="inlineStr">
        <is>
          <t>Kontrak atau perjanjian teknikal bertulis dengan setiap penerima kontrak (cth. pengilang atau pembungkus kontrak, makmal ujian, kontraktor kawalan perosak dan pembersihan) merangkumi keperluan halal (cth. bahan yang diluluskan, larangan bahan tidak halal, pemakluman perubahan dan hak audit). Kontrak stor dan pengangkutan pihak ketiga disemak dalam bahagian E dan J.</t>
        </is>
      </c>
      <c r="C232" s="7" t="inlineStr">
        <is>
          <t>MS 2424 kl. 4.18*; PIC/S GMP Bab 7</t>
        </is>
      </c>
      <c r="D232" s="7" t="inlineStr"/>
      <c r="E232" s="7" t="inlineStr"/>
      <c r="F232" t="inlineStr">
        <is>
          <t>M</t>
        </is>
      </c>
    </row>
    <row r="233">
      <c r="A233" s="7" t="inlineStr">
        <is>
          <t>M3</t>
        </is>
      </c>
      <c r="B233" s="7" t="inlineStr">
        <is>
          <t>Pemberi kontrak memantau prestasi penerima kontrak, termasuk aspek halal (cth. melalui audit atau semakan sijil berkala). Penerima kontrak tidak menyerahkan kerja kepada subkontraktor tanpa kelulusan bertulis.</t>
        </is>
      </c>
      <c r="C233" s="7" t="inlineStr">
        <is>
          <t>PIC/S GMP Bab 7; MHMS 5(5)</t>
        </is>
      </c>
      <c r="D233" s="7" t="inlineStr"/>
      <c r="E233" s="7" t="inlineStr"/>
      <c r="F233" t="inlineStr">
        <is>
          <t>M</t>
        </is>
      </c>
    </row>
    <row r="234">
      <c r="A234" s="7" t="inlineStr">
        <is>
          <t>M4</t>
        </is>
      </c>
      <c r="B234" s="7" t="inlineStr">
        <is>
          <t>Prosedur aduan merangkumi aduan berkaitan halal (cth. pertanyaan pengguna tentang sumber kapsul), dan setiap aduan direkod, disiasat dan diambil tindakan.</t>
        </is>
      </c>
      <c r="C234" s="7" t="inlineStr">
        <is>
          <t>PIC/S GMP Bab 8</t>
        </is>
      </c>
      <c r="D234" s="7" t="inlineStr"/>
      <c r="E234" s="7" t="inlineStr"/>
      <c r="F234" t="inlineStr">
        <is>
          <t>M</t>
        </is>
      </c>
    </row>
    <row r="235">
      <c r="A235" s="7" t="inlineStr">
        <is>
          <t>M5</t>
        </is>
      </c>
      <c r="B235" s="7" t="inlineStr">
        <is>
          <t>Prosedur kebolehkesanan bertulis membolehkan setiap kelompok dikesan ke belakang hingga lot bahan mentah (termasuk lot gelatin dan kapsul) dan ke hadapan hingga pelanggan.</t>
        </is>
      </c>
      <c r="C235" s="7" t="inlineStr">
        <is>
          <t>MHMS 5(9), 6</t>
        </is>
      </c>
      <c r="D235" s="7" t="inlineStr"/>
      <c r="E235" s="7" t="inlineStr"/>
      <c r="F235" t="inlineStr">
        <is>
          <t>M</t>
        </is>
      </c>
    </row>
    <row r="236">
      <c r="A236" s="7" t="inlineStr">
        <is>
          <t>M6</t>
        </is>
      </c>
      <c r="B236" s="7" t="inlineStr">
        <is>
          <t>Rekod pengedaran setiap kelompok produk siap disimpan supaya penarikan balik dapat dibuat dengan lengkap dan segera.</t>
        </is>
      </c>
      <c r="C236" s="7" t="inlineStr">
        <is>
          <t>PKDK 1984 per. 25</t>
        </is>
      </c>
      <c r="D236" s="7" t="inlineStr"/>
      <c r="E236" s="7" t="inlineStr"/>
      <c r="F236" t="inlineStr">
        <is>
          <t>M</t>
        </is>
      </c>
    </row>
    <row r="237">
      <c r="A237" s="7" t="inlineStr">
        <is>
          <t>M7</t>
        </is>
      </c>
      <c r="B237" s="7" t="inlineStr">
        <is>
          <t>Prosedur penarikan balik (withdrawal/recall) merangkumi ketidakakuran halal dan pencemaran, dan selaras dengan garis panduan NPRA bagi pelaporan kecacatan kualiti dan penarikan balik produk berdaftar (termasuk semakan keberkesanan penarikan balik).</t>
        </is>
      </c>
      <c r="C237" s="7" t="inlineStr">
        <is>
          <t>MHMS 5(9); PIC/S GMP Bab 8; DRGD Lampiran 34</t>
        </is>
      </c>
      <c r="D237" s="7" t="inlineStr"/>
      <c r="E237" s="7" t="inlineStr"/>
      <c r="F237" t="inlineStr">
        <is>
          <t>M</t>
        </is>
      </c>
    </row>
    <row r="238">
      <c r="A238" s="7" t="inlineStr">
        <is>
          <t>M8</t>
        </is>
      </c>
      <c r="B238" s="7" t="inlineStr">
        <is>
          <t>HAS: latihan penarikan balik (mock recall) dibuat sekurang-kurangnya sekali setahun, dan rekod kebolehkesanan serta penarikan balik disimpan.</t>
        </is>
      </c>
      <c r="C238" s="7" t="inlineStr">
        <is>
          <t>MHMS 5(9)</t>
        </is>
      </c>
      <c r="D238" s="7" t="inlineStr"/>
      <c r="E238" s="7" t="inlineStr"/>
      <c r="F238" t="inlineStr">
        <is>
          <t>M</t>
        </is>
      </c>
    </row>
    <row r="239">
      <c r="A239" s="4" t="inlineStr">
        <is>
          <t>Bahagian N: Dokumentasi, Rekod, Pemeriksaan Kendiri &amp; Rumusan</t>
        </is>
      </c>
      <c r="B239" s="5" t="n"/>
      <c r="C239" s="5" t="n"/>
      <c r="D239" s="5" t="n"/>
      <c r="E239" s="6" t="n"/>
    </row>
    <row r="240" ht="26" customHeight="1">
      <c r="A240" s="2" t="inlineStr">
        <is>
          <t>Semak sistem kawalan dokumen, tempoh simpanan rekod, kemas kini MYeHALAL dan NPRA, rekod pemeriksaan kendiri dan penutupan penemuan audit terdahulu, kemudian buat rumusan pematuhan.</t>
        </is>
      </c>
    </row>
    <row r="241">
      <c r="A241" s="7" t="inlineStr">
        <is>
          <t>N1</t>
        </is>
      </c>
      <c r="B241" s="7" t="inlineStr">
        <is>
          <t>Dokumen dan rekod halal dikawal (versi, kelulusan dan pengedaran), dikemas kini, lengkap dan mudah dirujuk semasa pemeriksaan.</t>
        </is>
      </c>
      <c r="C241" s="7" t="inlineStr">
        <is>
          <t>MPPHM 17(14)(a); MHMS 5(13); MS 2424 kl. 4.14*; PIC/S GMP Bab 4</t>
        </is>
      </c>
      <c r="D241" s="7" t="inlineStr"/>
      <c r="E241" s="7" t="inlineStr"/>
      <c r="F241" t="inlineStr">
        <is>
          <t>N</t>
        </is>
      </c>
    </row>
    <row r="242">
      <c r="A242" s="7" t="inlineStr">
        <is>
          <t>N2</t>
        </is>
      </c>
      <c r="B242" s="7" t="inlineStr">
        <is>
          <t>Fail dokumentasi meliputi fail permohonan, fail MHMS, sijil, rekod pekerja, rekod latihan, rekod pembelian bahan mentah, rekod kawalan perosak, rekod pemprosesan dan rekod audit terdahulu.</t>
        </is>
      </c>
      <c r="C242" s="7" t="inlineStr">
        <is>
          <t>MPPHM 17(14)(b)</t>
        </is>
      </c>
      <c r="D242" s="7" t="inlineStr"/>
      <c r="E242" s="7" t="inlineStr"/>
      <c r="F242" t="inlineStr">
        <is>
          <t>N</t>
        </is>
      </c>
    </row>
    <row r="243">
      <c r="A243" s="7" t="inlineStr">
        <is>
          <t>N3</t>
        </is>
      </c>
      <c r="B243" s="7" t="inlineStr">
        <is>
          <t>Dokumen sokongan (sijil halal, spesifikasi dan pengisytiharan pengeluar) disimpan dalam fail yang berasingan dengan nombor rujukan.</t>
        </is>
      </c>
      <c r="C243" s="7" t="inlineStr">
        <is>
          <t>MHMS 5(13)</t>
        </is>
      </c>
      <c r="D243" s="7" t="inlineStr"/>
      <c r="E243" s="7" t="inlineStr"/>
      <c r="F243" t="inlineStr">
        <is>
          <t>N</t>
        </is>
      </c>
    </row>
    <row r="244">
      <c r="A244" s="7" t="inlineStr">
        <is>
          <t>N4</t>
        </is>
      </c>
      <c r="B244" s="7" t="inlineStr">
        <is>
          <t>Rekod halal disimpan sekurang-kurangnya 3 tahun, dan pemohon baharu mempunyai rekod sekurang-kurangnya 3 bulan.</t>
        </is>
      </c>
      <c r="C244" s="7" t="inlineStr">
        <is>
          <t>MPPHM 17(14)(c), 17(14)(d); MHMS 5(13)</t>
        </is>
      </c>
      <c r="D244" s="7" t="inlineStr"/>
      <c r="E244" s="7" t="inlineStr"/>
      <c r="F244" t="inlineStr">
        <is>
          <t>N</t>
        </is>
      </c>
    </row>
    <row r="245">
      <c r="A245" s="7" t="inlineStr">
        <is>
          <t>N5</t>
        </is>
      </c>
      <c r="B245" s="7" t="inlineStr">
        <is>
          <t>Rekod kelompok disimpan sekurang-kurangnya 1 tahun selepas tarikh luput kelompok atau 5 tahun selepas pensijilan kelompok, mengikut tempoh yang lebih lama.</t>
        </is>
      </c>
      <c r="C245" s="7" t="inlineStr">
        <is>
          <t>PIC/S GMP Bab 4</t>
        </is>
      </c>
      <c r="D245" s="7" t="inlineStr"/>
      <c r="E245" s="7" t="inlineStr"/>
      <c r="F245" t="inlineStr">
        <is>
          <t>N</t>
        </is>
      </c>
    </row>
    <row r="246">
      <c r="A246" s="7" t="inlineStr">
        <is>
          <t>N6</t>
        </is>
      </c>
      <c r="B246" s="7" t="inlineStr">
        <is>
          <t>Maklumat dalam MYeHALAL (produk, bahan, pembekal dan premis) dikemas kini, dan setiap perubahan bahan, formulasi atau nama produk diisytiharkan sebelum dilaksanakan.</t>
        </is>
      </c>
      <c r="C246" s="7" t="inlineStr">
        <is>
          <t>MPPHM 17(1)(g), 37, 60; MHMS 5(7)</t>
        </is>
      </c>
      <c r="D246" s="7" t="inlineStr"/>
      <c r="E246" s="7" t="inlineStr"/>
      <c r="F246" t="inlineStr">
        <is>
          <t>N</t>
        </is>
      </c>
    </row>
    <row r="247">
      <c r="A247" s="7" t="inlineStr">
        <is>
          <t>N7</t>
        </is>
      </c>
      <c r="B247" s="7" t="inlineStr">
        <is>
          <t>Perubahan pada produk berdaftar (cth. formulasi, sumber bahan, pengilang atau label) diluluskan oleh, atau dimaklumkan kepada, NPRA melalui proses variasi sebelum dilaksanakan.</t>
        </is>
      </c>
      <c r="C247" s="7" t="inlineStr">
        <is>
          <t>DRGD Bahagian E</t>
        </is>
      </c>
      <c r="D247" s="7" t="inlineStr"/>
      <c r="E247" s="7" t="inlineStr"/>
      <c r="F247" t="inlineStr">
        <is>
          <t>N</t>
        </is>
      </c>
    </row>
    <row r="248">
      <c r="A248" s="7" t="inlineStr">
        <is>
          <t>N8</t>
        </is>
      </c>
      <c r="B248" s="7" t="inlineStr">
        <is>
          <t>Pemeriksaan kendiri GMP dibuat secara berkala dan merangkumi aspek halal (atau diselaraskan dengan audit halal dalaman), dan penemuan serta tindakan pembetulannya direkod.</t>
        </is>
      </c>
      <c r="C248" s="7" t="inlineStr">
        <is>
          <t>PKDK 1984 per. 24; MS 2424 kl. 4.19*; PIC/S GMP Bab 9</t>
        </is>
      </c>
      <c r="D248" s="7" t="inlineStr"/>
      <c r="E248" s="7" t="inlineStr"/>
      <c r="F248" t="inlineStr">
        <is>
          <t>N</t>
        </is>
      </c>
    </row>
    <row r="249">
      <c r="A249" s="7" t="inlineStr">
        <is>
          <t>N9</t>
        </is>
      </c>
      <c r="B249" s="7" t="inlineStr">
        <is>
          <t>Penemuan audit halal terdahulu oleh pihak berkuasa telah ditutup dengan bukti tindakan pembetulan.</t>
        </is>
      </c>
      <c r="C249" s="7" t="inlineStr">
        <is>
          <t>MPPHM 17(14)(b), 30</t>
        </is>
      </c>
      <c r="D249" s="7" t="inlineStr"/>
      <c r="E249" s="7" t="inlineStr"/>
      <c r="F249" t="inlineStr">
        <is>
          <t>N</t>
        </is>
      </c>
    </row>
    <row r="250">
      <c r="A250" s="7" t="inlineStr">
        <is>
          <t>N10</t>
        </is>
      </c>
      <c r="B250" s="7" t="inlineStr">
        <is>
          <t>Rumusan (ditanda selepas bahagian A hingga M selesai): syarikat mematuhi semua perundangan yang berkaitan, dan tiada ketidakakuran yang belum diperbetulkan terhadap MS 2424:2019, Akta Jualan Dadah 1952, PKDK 1984 dan DRGD.</t>
        </is>
      </c>
      <c r="C250" s="7" t="inlineStr">
        <is>
          <t>MPPHM 17(16)(a), 18(3)(d), 56; MS 2424 kl. 4.20*, 5*</t>
        </is>
      </c>
      <c r="D250" s="7" t="inlineStr"/>
      <c r="E250" s="7" t="inlineStr"/>
      <c r="F250" t="inlineStr">
        <is>
          <t>N</t>
        </is>
      </c>
    </row>
  </sheetData>
  <mergeCells count="29">
    <mergeCell ref="A77:E77"/>
    <mergeCell ref="A166:E166"/>
    <mergeCell ref="A191:E191"/>
    <mergeCell ref="A207:E207"/>
    <mergeCell ref="A138:E138"/>
    <mergeCell ref="A61:E61"/>
    <mergeCell ref="A6:E6"/>
    <mergeCell ref="A197:E197"/>
    <mergeCell ref="A7:E7"/>
    <mergeCell ref="A198:E198"/>
    <mergeCell ref="A3:E3"/>
    <mergeCell ref="A192:E192"/>
    <mergeCell ref="A239:E239"/>
    <mergeCell ref="A139:E139"/>
    <mergeCell ref="A76:E76"/>
    <mergeCell ref="A151:E151"/>
    <mergeCell ref="A206:E206"/>
    <mergeCell ref="A126:E126"/>
    <mergeCell ref="A29:E29"/>
    <mergeCell ref="A62:E62"/>
    <mergeCell ref="A240:E240"/>
    <mergeCell ref="A125:E125"/>
    <mergeCell ref="A28:E28"/>
    <mergeCell ref="A112:E112"/>
    <mergeCell ref="A152:E152"/>
    <mergeCell ref="A230:E230"/>
    <mergeCell ref="A111:E111"/>
    <mergeCell ref="A167:E167"/>
    <mergeCell ref="A229:E229"/>
  </mergeCells>
  <conditionalFormatting sqref="D6:D250">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5 D26 D27 D30 D31 D32 D33 D34 D35 D36 D37 D38 D39 D40 D41 D42 D43 D44 D45 D46 D47 D48 D49 D50 D51 D52 D53 D54 D55 D56 D57 D58 D59 D60 D63 D64 D65 D66 D67 D68 D69 D70 D71 D72 D73 D74 D75 D78 D79 D80 D81 D82 D83 D84 D85 D86 D87 D88 D89 D90 D91 D92 D93 D94 D95 D96 D97 D98 D99 D100 D101 D102 D103 D104 D105 D106 D107 D108 D109 D110 D113 D114 D115 D116 D117 D118 D119 D120 D121 D122 D123 D124 D127 D128 D129 D130 D131 D132 D133 D134 D135 D136 D137 D140 D141 D142 D143 D144 D145 D146 D147 D148 D149 D150 D153 D154 D155 D156 D157 D158 D159 D160 D161 D162 D163 D164 D165 D168 D169 D170 D171 D172 D173 D174 D175 D176 D177 D178 D179 D180 D181 D182 D183 D184 D185 D186 D187 D188 D189 D190 D193 D194 D195 D196 D199 D200 D201 D202 D203 D204 D205 D208 D209 D210 D211 D212 D213 D214 D215 D216 D217 D218 D219 D220 D221 D222 D223 D224 D225 D226 D227 D228 D231 D232 D233 D234 D235 D236 D237 D238 D241 D242 D243 D244 D245 D246 D247 D248 D249 D250"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8"/>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Produk Farmaseutikal</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&amp; Skop Permohonan</t>
        </is>
      </c>
      <c r="B4" t="n">
        <v>20</v>
      </c>
      <c r="C4">
        <f>COUNTIFS('Senarai Semak'!$F$6:$F$250,"A",'Senarai Semak'!$D$6:$D$250,"Ya")</f>
        <v/>
      </c>
      <c r="D4">
        <f>COUNTIFS('Senarai Semak'!$F$6:$F$250,"A",'Senarai Semak'!$D$6:$D$250,"Tidak")</f>
        <v/>
      </c>
      <c r="E4">
        <f>COUNTIFS('Senarai Semak'!$F$6:$F$250,"A",'Senarai Semak'!$D$6:$D$250,"TB")</f>
        <v/>
      </c>
      <c r="F4">
        <f>B4-C4-D4-E4</f>
        <v/>
      </c>
      <c r="G4" s="10">
        <f>IF(C4+D4=0,"",C4/(C4+D4))</f>
        <v/>
      </c>
    </row>
    <row r="5">
      <c r="A5" t="inlineStr">
        <is>
          <t>B: Pengurusan Halal, HAS/IHCS &amp; Sistem Kualiti</t>
        </is>
      </c>
      <c r="B5" t="n">
        <v>31</v>
      </c>
      <c r="C5">
        <f>COUNTIFS('Senarai Semak'!$F$6:$F$250,"B",'Senarai Semak'!$D$6:$D$250,"Ya")</f>
        <v/>
      </c>
      <c r="D5">
        <f>COUNTIFS('Senarai Semak'!$F$6:$F$250,"B",'Senarai Semak'!$D$6:$D$250,"Tidak")</f>
        <v/>
      </c>
      <c r="E5">
        <f>COUNTIFS('Senarai Semak'!$F$6:$F$250,"B",'Senarai Semak'!$D$6:$D$250,"TB")</f>
        <v/>
      </c>
      <c r="F5">
        <f>B5-C5-D5-E5</f>
        <v/>
      </c>
      <c r="G5" s="10">
        <f>IF(C5+D5=0,"",C5/(C5+D5))</f>
        <v/>
      </c>
    </row>
    <row r="6">
      <c r="A6" t="inlineStr">
        <is>
          <t>C: Premis &amp; Persekitaran</t>
        </is>
      </c>
      <c r="B6" t="n">
        <v>13</v>
      </c>
      <c r="C6">
        <f>COUNTIFS('Senarai Semak'!$F$6:$F$250,"C",'Senarai Semak'!$D$6:$D$250,"Ya")</f>
        <v/>
      </c>
      <c r="D6">
        <f>COUNTIFS('Senarai Semak'!$F$6:$F$250,"C",'Senarai Semak'!$D$6:$D$250,"Tidak")</f>
        <v/>
      </c>
      <c r="E6">
        <f>COUNTIFS('Senarai Semak'!$F$6:$F$250,"C",'Senarai Semak'!$D$6:$D$250,"TB")</f>
        <v/>
      </c>
      <c r="F6">
        <f>B6-C6-D6-E6</f>
        <v/>
      </c>
      <c r="G6" s="10">
        <f>IF(C6+D6=0,"",C6/(C6+D6))</f>
        <v/>
      </c>
    </row>
    <row r="7">
      <c r="A7" t="inlineStr">
        <is>
          <t>D: Bahan Mentah, Bahan Aktif, Eksipien &amp; Pembekal</t>
        </is>
      </c>
      <c r="B7" t="n">
        <v>33</v>
      </c>
      <c r="C7">
        <f>COUNTIFS('Senarai Semak'!$F$6:$F$250,"D",'Senarai Semak'!$D$6:$D$250,"Ya")</f>
        <v/>
      </c>
      <c r="D7">
        <f>COUNTIFS('Senarai Semak'!$F$6:$F$250,"D",'Senarai Semak'!$D$6:$D$250,"Tidak")</f>
        <v/>
      </c>
      <c r="E7">
        <f>COUNTIFS('Senarai Semak'!$F$6:$F$250,"D",'Senarai Semak'!$D$6:$D$250,"TB")</f>
        <v/>
      </c>
      <c r="F7">
        <f>B7-C7-D7-E7</f>
        <v/>
      </c>
      <c r="G7" s="10">
        <f>IF(C7+D7=0,"",C7/(C7+D7))</f>
        <v/>
      </c>
    </row>
    <row r="8">
      <c r="A8" t="inlineStr">
        <is>
          <t>E: Penerimaan &amp; Penyimpanan</t>
        </is>
      </c>
      <c r="B8" t="n">
        <v>12</v>
      </c>
      <c r="C8">
        <f>COUNTIFS('Senarai Semak'!$F$6:$F$250,"E",'Senarai Semak'!$D$6:$D$250,"Ya")</f>
        <v/>
      </c>
      <c r="D8">
        <f>COUNTIFS('Senarai Semak'!$F$6:$F$250,"E",'Senarai Semak'!$D$6:$D$250,"Tidak")</f>
        <v/>
      </c>
      <c r="E8">
        <f>COUNTIFS('Senarai Semak'!$F$6:$F$250,"E",'Senarai Semak'!$D$6:$D$250,"TB")</f>
        <v/>
      </c>
      <c r="F8">
        <f>B8-C8-D8-E8</f>
        <v/>
      </c>
      <c r="G8" s="10">
        <f>IF(C8+D8=0,"",C8/(C8+D8))</f>
        <v/>
      </c>
    </row>
    <row r="9">
      <c r="A9" t="inlineStr">
        <is>
          <t>F: Pengilangan &amp; Pemprosesan</t>
        </is>
      </c>
      <c r="B9" t="n">
        <v>11</v>
      </c>
      <c r="C9">
        <f>COUNTIFS('Senarai Semak'!$F$6:$F$250,"F",'Senarai Semak'!$D$6:$D$250,"Ya")</f>
        <v/>
      </c>
      <c r="D9">
        <f>COUNTIFS('Senarai Semak'!$F$6:$F$250,"F",'Senarai Semak'!$D$6:$D$250,"Tidak")</f>
        <v/>
      </c>
      <c r="E9">
        <f>COUNTIFS('Senarai Semak'!$F$6:$F$250,"F",'Senarai Semak'!$D$6:$D$250,"TB")</f>
        <v/>
      </c>
      <c r="F9">
        <f>B9-C9-D9-E9</f>
        <v/>
      </c>
      <c r="G9" s="10">
        <f>IF(C9+D9=0,"",C9/(C9+D9))</f>
        <v/>
      </c>
    </row>
    <row r="10">
      <c r="A10" t="inlineStr">
        <is>
          <t>G: Peralatan, Utiliti, Pembersihan &amp; Sertu</t>
        </is>
      </c>
      <c r="B10" t="n">
        <v>11</v>
      </c>
      <c r="C10">
        <f>COUNTIFS('Senarai Semak'!$F$6:$F$250,"G",'Senarai Semak'!$D$6:$D$250,"Ya")</f>
        <v/>
      </c>
      <c r="D10">
        <f>COUNTIFS('Senarai Semak'!$F$6:$F$250,"G",'Senarai Semak'!$D$6:$D$250,"Tidak")</f>
        <v/>
      </c>
      <c r="E10">
        <f>COUNTIFS('Senarai Semak'!$F$6:$F$250,"G",'Senarai Semak'!$D$6:$D$250,"TB")</f>
        <v/>
      </c>
      <c r="F10">
        <f>B10-C10-D10-E10</f>
        <v/>
      </c>
      <c r="G10" s="10">
        <f>IF(C10+D10=0,"",C10/(C10+D10))</f>
        <v/>
      </c>
    </row>
    <row r="11">
      <c r="A11" t="inlineStr">
        <is>
          <t>H: Kawalan Kualiti Halal &amp; Analisis Makmal</t>
        </is>
      </c>
      <c r="B11" t="n">
        <v>13</v>
      </c>
      <c r="C11">
        <f>COUNTIFS('Senarai Semak'!$F$6:$F$250,"H",'Senarai Semak'!$D$6:$D$250,"Ya")</f>
        <v/>
      </c>
      <c r="D11">
        <f>COUNTIFS('Senarai Semak'!$F$6:$F$250,"H",'Senarai Semak'!$D$6:$D$250,"Tidak")</f>
        <v/>
      </c>
      <c r="E11">
        <f>COUNTIFS('Senarai Semak'!$F$6:$F$250,"H",'Senarai Semak'!$D$6:$D$250,"TB")</f>
        <v/>
      </c>
      <c r="F11">
        <f>B11-C11-D11-E11</f>
        <v/>
      </c>
      <c r="G11" s="10">
        <f>IF(C11+D11=0,"",C11/(C11+D11))</f>
        <v/>
      </c>
    </row>
    <row r="12">
      <c r="A12" t="inlineStr">
        <is>
          <t>I: Pembungkusan, Pelabelan, Logo Halal &amp; Sijil</t>
        </is>
      </c>
      <c r="B12" t="n">
        <v>23</v>
      </c>
      <c r="C12">
        <f>COUNTIFS('Senarai Semak'!$F$6:$F$250,"I",'Senarai Semak'!$D$6:$D$250,"Ya")</f>
        <v/>
      </c>
      <c r="D12">
        <f>COUNTIFS('Senarai Semak'!$F$6:$F$250,"I",'Senarai Semak'!$D$6:$D$250,"Tidak")</f>
        <v/>
      </c>
      <c r="E12">
        <f>COUNTIFS('Senarai Semak'!$F$6:$F$250,"I",'Senarai Semak'!$D$6:$D$250,"TB")</f>
        <v/>
      </c>
      <c r="F12">
        <f>B12-C12-D12-E12</f>
        <v/>
      </c>
      <c r="G12" s="10">
        <f>IF(C12+D12=0,"",C12/(C12+D12))</f>
        <v/>
      </c>
    </row>
    <row r="13">
      <c r="A13" t="inlineStr">
        <is>
          <t>J: Pengangkutan &amp; Pengedaran</t>
        </is>
      </c>
      <c r="B13" t="n">
        <v>4</v>
      </c>
      <c r="C13">
        <f>COUNTIFS('Senarai Semak'!$F$6:$F$250,"J",'Senarai Semak'!$D$6:$D$250,"Ya")</f>
        <v/>
      </c>
      <c r="D13">
        <f>COUNTIFS('Senarai Semak'!$F$6:$F$250,"J",'Senarai Semak'!$D$6:$D$250,"Tidak")</f>
        <v/>
      </c>
      <c r="E13">
        <f>COUNTIFS('Senarai Semak'!$F$6:$F$250,"J",'Senarai Semak'!$D$6:$D$250,"TB")</f>
        <v/>
      </c>
      <c r="F13">
        <f>B13-C13-D13-E13</f>
        <v/>
      </c>
      <c r="G13" s="10">
        <f>IF(C13+D13=0,"",C13/(C13+D13))</f>
        <v/>
      </c>
    </row>
    <row r="14">
      <c r="A14" t="inlineStr">
        <is>
          <t>K: Kebersihan, Sanitasi &amp; Kawalan Perosak</t>
        </is>
      </c>
      <c r="B14" t="n">
        <v>7</v>
      </c>
      <c r="C14">
        <f>COUNTIFS('Senarai Semak'!$F$6:$F$250,"K",'Senarai Semak'!$D$6:$D$250,"Ya")</f>
        <v/>
      </c>
      <c r="D14">
        <f>COUNTIFS('Senarai Semak'!$F$6:$F$250,"K",'Senarai Semak'!$D$6:$D$250,"Tidak")</f>
        <v/>
      </c>
      <c r="E14">
        <f>COUNTIFS('Senarai Semak'!$F$6:$F$250,"K",'Senarai Semak'!$D$6:$D$250,"TB")</f>
        <v/>
      </c>
      <c r="F14">
        <f>B14-C14-D14-E14</f>
        <v/>
      </c>
      <c r="G14" s="10">
        <f>IF(C14+D14=0,"",C14/(C14+D14))</f>
        <v/>
      </c>
    </row>
    <row r="15">
      <c r="A15" t="inlineStr">
        <is>
          <t>L: Pekerja, Kebersihan Diri, Latihan &amp; Kemudahan</t>
        </is>
      </c>
      <c r="B15" t="n">
        <v>21</v>
      </c>
      <c r="C15">
        <f>COUNTIFS('Senarai Semak'!$F$6:$F$250,"L",'Senarai Semak'!$D$6:$D$250,"Ya")</f>
        <v/>
      </c>
      <c r="D15">
        <f>COUNTIFS('Senarai Semak'!$F$6:$F$250,"L",'Senarai Semak'!$D$6:$D$250,"Tidak")</f>
        <v/>
      </c>
      <c r="E15">
        <f>COUNTIFS('Senarai Semak'!$F$6:$F$250,"L",'Senarai Semak'!$D$6:$D$250,"TB")</f>
        <v/>
      </c>
      <c r="F15">
        <f>B15-C15-D15-E15</f>
        <v/>
      </c>
      <c r="G15" s="10">
        <f>IF(C15+D15=0,"",C15/(C15+D15))</f>
        <v/>
      </c>
    </row>
    <row r="16">
      <c r="A16" t="inlineStr">
        <is>
          <t>M: Penyumberan Luar, Aduan, Kebolehkesanan &amp; Penarikan Balik</t>
        </is>
      </c>
      <c r="B16" t="n">
        <v>8</v>
      </c>
      <c r="C16">
        <f>COUNTIFS('Senarai Semak'!$F$6:$F$250,"M",'Senarai Semak'!$D$6:$D$250,"Ya")</f>
        <v/>
      </c>
      <c r="D16">
        <f>COUNTIFS('Senarai Semak'!$F$6:$F$250,"M",'Senarai Semak'!$D$6:$D$250,"Tidak")</f>
        <v/>
      </c>
      <c r="E16">
        <f>COUNTIFS('Senarai Semak'!$F$6:$F$250,"M",'Senarai Semak'!$D$6:$D$250,"TB")</f>
        <v/>
      </c>
      <c r="F16">
        <f>B16-C16-D16-E16</f>
        <v/>
      </c>
      <c r="G16" s="10">
        <f>IF(C16+D16=0,"",C16/(C16+D16))</f>
        <v/>
      </c>
    </row>
    <row r="17">
      <c r="A17" t="inlineStr">
        <is>
          <t>N: Dokumentasi, Rekod, Pemeriksaan Kendiri &amp; Rumusan</t>
        </is>
      </c>
      <c r="B17" t="n">
        <v>10</v>
      </c>
      <c r="C17">
        <f>COUNTIFS('Senarai Semak'!$F$6:$F$250,"N",'Senarai Semak'!$D$6:$D$250,"Ya")</f>
        <v/>
      </c>
      <c r="D17">
        <f>COUNTIFS('Senarai Semak'!$F$6:$F$250,"N",'Senarai Semak'!$D$6:$D$250,"Tidak")</f>
        <v/>
      </c>
      <c r="E17">
        <f>COUNTIFS('Senarai Semak'!$F$6:$F$250,"N",'Senarai Semak'!$D$6:$D$250,"TB")</f>
        <v/>
      </c>
      <c r="F17">
        <f>B17-C17-D17-E17</f>
        <v/>
      </c>
      <c r="G17" s="10">
        <f>IF(C17+D17=0,"",C17/(C17+D17))</f>
        <v/>
      </c>
    </row>
    <row r="18">
      <c r="A18" s="11" t="inlineStr">
        <is>
          <t>Jumlah</t>
        </is>
      </c>
      <c r="B18" s="11">
        <f>SUM(B4:B17)</f>
        <v/>
      </c>
      <c r="C18" s="11">
        <f>SUM(C4:C17)</f>
        <v/>
      </c>
      <c r="D18" s="11">
        <f>SUM(D4:D17)</f>
        <v/>
      </c>
      <c r="E18" s="11">
        <f>SUM(E4:E17)</f>
        <v/>
      </c>
      <c r="F18" s="11">
        <f>SUM(F4:F17)</f>
        <v/>
      </c>
      <c r="G18" s="10">
        <f>IF(C18+D18=0,"",C18/(C18+D18))</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6"/>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dibaca bagi s. 3 (termasuk tafsiran 'skim produk farmaseutikal', Eksekutif Halal, Penyelia Halal dan JKHD), s. 5, s. 6, s. 8 (Jadual 1, kategori industri mengikut nilai perolehan tahunan) dan s. 18(3)(a)-(e), termasuk 18(3)(e)(i)-(iii). S. 17 dirujuk melalui ringkasan sub-seksyen yang disemak daripada teks penuh. Bagi s. 19, 20, 30, 35, 36, 37, 40, 41, 55, 56, 58 dan 60, hanya tajuk dalam jadual kandungan disemak kerana teks badan selepas s. 18 tiada dalam salinan yang diekstrak.</t>
        </is>
      </c>
      <c r="D2" s="14" t="inlineStr">
        <is>
          <t>https://jaips.perlis.gov.my/phocadownload/MPPHM%20Domestik%202020%20JAKIM-JAIN.pdf</t>
        </is>
      </c>
    </row>
    <row r="3">
      <c r="A3" s="14" t="inlineStr">
        <is>
          <t>MHMS</t>
        </is>
      </c>
      <c r="B3" s="14" t="inlineStr">
        <is>
          <t>Sistem Pengurusan Halal Malaysia (Malaysian Halal Management System, MHMS) 2020</t>
        </is>
      </c>
      <c r="C3" s="14" t="inlineStr">
        <is>
          <t>Teks penuh dibaca daripada salinan dokumen JAKIM yang dihoskan oleh laman pihak ketiga (serunai.com). Bahagian yang dibaca ialah 5(1)-5(13) (HAS), 6 (IHCS), 7(1) (Produk Makanan &amp; Minuman, Kosmetik, Farmaseutikal, Barang Gunaan dan Peranti Perubatan) serta Lampiran C1, C2, D dan J. Rujukan mengikut penomboran yang dicetak dalam manual.</t>
        </is>
      </c>
      <c r="D3" s="14" t="inlineStr">
        <is>
          <t>https://serunai.com/wp-content/uploads/2023/03/SPHM-2020.pdf</t>
        </is>
      </c>
    </row>
    <row r="4">
      <c r="A4" s="14" t="inlineStr">
        <is>
          <t>MS 2424</t>
        </is>
      </c>
      <c r="B4" s="14" t="inlineStr">
        <is>
          <t>MS 2424:2019 Halal pharmaceuticals - General requirements (First revision)</t>
        </is>
      </c>
      <c r="C4" s="14" t="inlineStr">
        <is>
          <t>Pratonton rasmi MySOL. Hanya jadual kandungan penuh (kl. 0-7, 4.1-4.20, Lampiran A: kaedah basuhan dan sertu, Lampiran B: HCP lazim bagi proses pengilangan vaksin) dan prakata yang dapat dibaca. Isi klausa tidak dapat dibaca, jadi setiap rujukan diberi tanda * dan isinya diringkaskan.</t>
        </is>
      </c>
      <c r="D4" s="14" t="inlineStr">
        <is>
          <t>https://mysol.jsm.gov.my/preview-file/eyJpdiI6IkVwOTNyOHRRRVR6N0RtMnJHdFI0V3c9PSIsInZhbHVlIjoiakswV3czbDVQQ2g0eURyRjdEbGlrZz09IiwibWFjIjoiMjFhMWRiMzlmYzNjNmRlY2NhM2NlYTE3NjgzMTNjZjhiN2ZlM2E2NmM5N2E4ODg2MGRlNzUwNWEzZDdmOGZkYSJ9</t>
        </is>
      </c>
    </row>
    <row r="5">
      <c r="A5" s="14" t="inlineStr">
        <is>
          <t>MS 2627</t>
        </is>
      </c>
      <c r="B5" s="14" t="inlineStr">
        <is>
          <t>MS 2627:2017 Detection of porcine DNA - Test method - Food and food products</t>
        </is>
      </c>
      <c r="C5" s="14" t="inlineStr">
        <is>
          <t>Pratonton rasmi MySOL. Hanya jadual kandungan (kl. 1-12) dan prakata yang dapat dibaca, jadi setiap rujukan diberi tanda *.</t>
        </is>
      </c>
      <c r="D5" s="14" t="inlineStr">
        <is>
          <t>https://mysol.jsm.gov.my/preview-file/eyJpdiI6IlpORWxqczZIeXUzSUdZM2psZTZxaHc9PSIsInZhbHVlIjoidGdvaHpCTU5DTEl6eTJMM1gyandMQT09IiwibWFjIjoiN2Y1MGMxOTI2OWRhM2Q2MDMxMDg0ZWYzYzRlOWZlOGFlMDJlMThhMjJiMDZhYWMwMjlkYjg3M2RhZGNhNTY4NSJ9</t>
        </is>
      </c>
    </row>
    <row r="6">
      <c r="A6" s="14" t="inlineStr">
        <is>
          <t>AJD 1952</t>
        </is>
      </c>
      <c r="B6" s="14" t="inlineStr">
        <is>
          <t>Akta Jualan Dadah 1952 (Akta 368)</t>
        </is>
      </c>
      <c r="C6" s="14" t="inlineStr">
        <is>
          <t>Teks penuh (Semakan 1989) dibaca: senarai seksyen, s. 2, s. 10(1) (termasuk perenggan (a)-(e)), s. 12, s. 15 dan s. 26.</t>
        </is>
      </c>
      <c r="D6" s="14" t="inlineStr">
        <is>
          <t>https://pharmacy.moh.gov.my/sites/default/files/document-upload/sales-drug-act-1952-act-368.pdf</t>
        </is>
      </c>
    </row>
    <row r="7">
      <c r="A7" s="14" t="inlineStr">
        <is>
          <t>PKDK 1984</t>
        </is>
      </c>
      <c r="B7" s="14" t="inlineStr">
        <is>
          <t>Peraturan-Peraturan Kawalan Dadah dan Kosmetik 1984 (P.U.(A) 223/1984)</t>
        </is>
      </c>
      <c r="C7" s="14" t="inlineStr">
        <is>
          <t>Teks penuh dibaca: senarai peraturan, per. 2, 7 (termasuk 7(1A)(e) dan 7(1A)(h)), 7A, 7B, 8, 9, 12, 19-25 dan 27-29.</t>
        </is>
      </c>
      <c r="D7" s="14" t="inlineStr">
        <is>
          <t>https://pharmacy.moh.gov.my/sites/default/files/document-upload/control-drugs-and-cosmetics-regulations-1984.pdf</t>
        </is>
      </c>
    </row>
    <row r="8">
      <c r="A8" s="14" t="inlineStr">
        <is>
          <t>DRGD</t>
        </is>
      </c>
      <c r="B8" s="14" t="inlineStr">
        <is>
          <t>Drug Registration Guidance Document (DRGD) Edisi Ketiga, NPRA</t>
        </is>
      </c>
      <c r="C8" s="14" t="inlineStr">
        <is>
          <t>Teks badan Edisi Ketiga Semakan ke-7 (Januari 2024) dibaca bagi 7.14 (Logo Halal) dan struktur Bahagian A-E, dan teks 7.14 Semakan ke-12 (Julai 2026) disemak. Lampiran 6 (5.3.5, 5.4), Lampiran 7 (1.3, 2.2.4, 2.6.1), Lampiran 17 (kategori 8 dan 13) dan Lampiran 19A (baris 5, 16 dan 20) versi Julai 2026 dibaca. Lampiran 18 disahkan sebagai senarai bahan dibenarkan, dilarang dan dihadkan, dan Lampiran 34 sebagai garis panduan pelaporan kualiti produk dan prosedur penarikan balik (rujukan tanpa nombor perenggan). Senarai pindaan Februari-Julai 2026 (Semakan ke-12) juga disemak; Lampiran 19 parameter 17 dipinda pada Mac 2026.</t>
        </is>
      </c>
      <c r="D8" s="14" t="inlineStr">
        <is>
          <t>https://www.npra.gov.my/easyarticles/images/users/1153/DRGD%20January%202024/MAIN-BODY-Drug-Registration-Guidance-Document-DRGD-3rd-Edition-7th-Revision-January-2024.pdf</t>
        </is>
      </c>
    </row>
    <row r="9">
      <c r="A9" s="14" t="inlineStr">
        <is>
          <t>DRGD Lampiran 19</t>
        </is>
      </c>
      <c r="B9" s="14" t="inlineStr">
        <is>
          <t>DRGD Appendix 19: General Labelling Requirements (NPRA)</t>
        </is>
      </c>
      <c r="C9" s="14" t="inlineStr">
        <is>
          <t>Teks penuh dibaca bagi parameter 10 (nombor pendaftaran), 16 (alkohol), 17 (sumber bahan haiwan) dan 18 (sumber cangkerang kapsul), syarat cetakan kekal nombor pendaftaran, syarat pelekat logo halal dan syarat bahasa. FAQ NPRA tentang Lampiran 19 (13 Disember 2024) turut disemak.</t>
        </is>
      </c>
      <c r="D9" s="14" t="inlineStr">
        <is>
          <t>https://www.npra.gov.my/easyarticles/images/users/1153/drgd_appendices/APPENDIX-19-General-Labelling-Requirements.pdf</t>
        </is>
      </c>
    </row>
    <row r="10">
      <c r="A10" s="14" t="inlineStr">
        <is>
          <t>PIC/S GMP</t>
        </is>
      </c>
      <c r="B10" s="14" t="inlineStr">
        <is>
          <t>PIC/S Guide to Good Manufacturing Practice for Medicinal Products, Part I (PE 009-18) dan Annex 15 (Qualification and Validation)</t>
        </is>
      </c>
      <c r="C10" s="14" t="inlineStr">
        <is>
          <t>Tajuk Bab 1-9 Bahagian I disemak daripada dokumen PIC/S (PE 009-18, bertarikh 24 September 2026), dan rujukan dibuat pada peringkat bab. Annex 15 s. 10 (validasi pembersihan) dibaca daripada teks EU GMP Annex 15 (2015), yang sama dengan PIC/S Annex 15.</t>
        </is>
      </c>
      <c r="D10" s="14" t="inlineStr">
        <is>
          <t>https://picscheme.org/docview/11332</t>
        </is>
      </c>
    </row>
    <row r="11">
      <c r="A11" s="14" t="inlineStr">
        <is>
          <t>GP GMP UT/SK 2008</t>
        </is>
      </c>
      <c r="B11" s="14" t="inlineStr">
        <is>
          <t>Guidelines on Good Manufacturing Practice for Traditional Medicines and Health Supplements, Edisi Pertama 2008 (NPRA)</t>
        </is>
      </c>
      <c r="C11" s="14" t="inlineStr">
        <is>
          <t>Hanya status penggunaannya yang disahkan, melalui FAQ GMP NPRA April 2023 (S4). Kandungannya tidak dibaca, jadi garis panduan ini dirujuk tanpa nombor.</t>
        </is>
      </c>
      <c r="D11" s="14" t="inlineStr">
        <is>
          <t>https://www.npra.gov.my/index.php/en/guidelines-for-compliance-licensing/1541-guidelines-on-good-manufacturing-practice-for-traditional-medicines-and-health-supplements.html</t>
        </is>
      </c>
    </row>
    <row r="12">
      <c r="A12" s="14" t="inlineStr">
        <is>
          <t>FAQ GMP NPRA</t>
        </is>
      </c>
      <c r="B12" s="14" t="inlineStr">
        <is>
          <t>Frequently Asked Questions: GMP Inspection (NPRA, April 2023, dikemas kini Disember 2023)</t>
        </is>
      </c>
      <c r="C12" s="14" t="inlineStr">
        <is>
          <t>Teks penuh dibaca: S4 (piawaian GMP mengikut jenis produk, termasuk premis PIC/S bagi produk semula jadi bertuntutan tinggi) dan S14 (Sijil GMP).</t>
        </is>
      </c>
      <c r="D12" s="14" t="inlineStr">
        <is>
          <t>https://www.npra.gov.my/easyarticles/images/users/1133/2023%20Apr_updateDec23/Frequently-Asked-Questions-GMP-Inspection---April-2023.pdf</t>
        </is>
      </c>
    </row>
    <row r="13">
      <c r="A13" s="14" t="inlineStr">
        <is>
          <t>APD 2011</t>
        </is>
      </c>
      <c r="B13" s="14" t="inlineStr">
        <is>
          <t>Akta Perihal Dagangan 2011 (Akta 730)</t>
        </is>
      </c>
      <c r="C13" s="14" t="inlineStr">
        <is>
          <t>Sumber kedua: artikel jurnal Universiti Malaya yang memetik s. 28 dan s. 29.</t>
        </is>
      </c>
      <c r="D13" s="14" t="inlineStr">
        <is>
          <t>https://jier.um.edu.my/index.php/JS/article/download/6922/4584</t>
        </is>
      </c>
    </row>
    <row r="14">
      <c r="A14" s="14" t="inlineStr">
        <is>
          <t>Perintah Takrif Halal 2011</t>
        </is>
      </c>
      <c r="B14" s="14" t="inlineStr">
        <is>
          <t>Perintah Perihal Dagangan (Takrif Halal) 2011 (P.U.(A) 430/2011)</t>
        </is>
      </c>
      <c r="C14" s="14" t="inlineStr">
        <is>
          <t>Sumber kedua: artikel jurnal UM, bagi perenggan 3(1) (takrif halal bagi makanan dan barang-barang, termasuk syarat tiada bahagian haiwan tidak halal, tiada najis, tidak memabukkan, tiada bahagian manusia, tidak memudaratkan, dan tidak dicemari peralatan bernajis).</t>
        </is>
      </c>
      <c r="D14" s="14" t="inlineStr">
        <is>
          <t>https://jier.um.edu.my/index.php/JS/article/download/6922/4584</t>
        </is>
      </c>
    </row>
    <row r="15">
      <c r="A15" s="14" t="inlineStr">
        <is>
          <t>Perintah Perakuan &amp; Penandaan Halal 2011</t>
        </is>
      </c>
      <c r="B15" s="14" t="inlineStr">
        <is>
          <t>Perintah Perihal Dagangan (Perakuan dan Penandaan Halal) 2011 (P.U.(A) 431/2011)</t>
        </is>
      </c>
      <c r="C15" s="14" t="inlineStr">
        <is>
          <t>Teks warta dibaca: perenggan 2, 3, 4(1), 4(2), 5 (termasuk 5(1) dan 5(2)) dan 6.</t>
        </is>
      </c>
      <c r="D15" s="14" t="inlineStr">
        <is>
          <t>https://login.totalweblite.com/Clients/halalfood/431wartaperakuanhalal.pdf</t>
        </is>
      </c>
    </row>
    <row r="16">
      <c r="A16" s="14" t="inlineStr">
        <is>
          <t>Fatwa Muzakarah Khas MKI 2011 (alkohol)</t>
        </is>
      </c>
      <c r="B16" s="14" t="inlineStr">
        <is>
          <t>Keputusan Muzakarah Khas Jawatankuasa Fatwa MKI, 14-16 Julai 2011: Alkohol dalam makanan, minuman, pewangi dan ubat-ubatan</t>
        </is>
      </c>
      <c r="C16" s="14" t="inlineStr">
        <is>
          <t>Sumber kedua: laman Jabatan Mufti Wilayah Persekutuan yang memetik keputusan ini. Menurut keputusan itu, ubat-ubatan dan pewangi yang mengandungi alkohol sebagai bahan pelarut tidak najis dan diharuskan jika alkohol itu bukan diperoleh melalui proses pembuatan arak.</t>
        </is>
      </c>
      <c r="D16" s="14" t="inlineStr">
        <is>
          <t>https://www.muftiwp.gov.my/ms/artikel/irsyad-hukum/umum/3097-irsyad-al-fatwa-siri-ke-290-hukum-pewarna-makanan-20-peratus-alkohol</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2026-10-06T15:53:01Z</dcterms:created>
  <dcterms:modified xmlns:dcterms="http://purl.org/dc/terms/" xmlns:xsi="http://www.w3.org/2001/XMLSchema-instance" xsi:type="dcterms:W3CDTF">2026-10-06T15:53:01Z</dcterms:modified>
</cp:coreProperties>
</file>