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Semak'!$A$1:$E$301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01"/>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Premis Makanan</t>
        </is>
      </c>
    </row>
    <row r="2">
      <c r="A2" t="inlineStr">
        <is>
          <t>Premis/syarikat: ______________________________   Jenis premis: ______________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&amp; Skop Permohonan</t>
        </is>
      </c>
      <c r="B6" s="5" t="n"/>
      <c r="C6" s="5" t="n"/>
      <c r="D6" s="5" t="n"/>
      <c r="E6" s="6" t="n"/>
    </row>
    <row r="7" ht="26" customHeight="1">
      <c r="A7" s="2" t="inlineStr">
        <is>
          <t>Semak dokumen pendaftaran, lesen dan skop permohonan dalam MYeHALAL, kemudian sahkan dengan operasi sebenar premis.</t>
        </is>
      </c>
    </row>
    <row r="8">
      <c r="A8" s="7" t="inlineStr">
        <is>
          <t>A1</t>
        </is>
      </c>
      <c r="B8" s="7" t="inlineStr">
        <is>
          <t>Pendaftaran perniagaan (SSM, koperasi atau dokumen penubuhan) masih sah, dan nama serta alamatnya sama dengan permohonan SPHM.</t>
        </is>
      </c>
      <c r="C8" s="7" t="inlineStr">
        <is>
          <t>MPPHM 5(1)</t>
        </is>
      </c>
      <c r="D8" s="7" t="inlineStr"/>
      <c r="E8" s="7" t="inlineStr"/>
      <c r="F8" t="inlineStr">
        <is>
          <t>A</t>
        </is>
      </c>
    </row>
    <row r="9">
      <c r="A9" s="7" t="inlineStr">
        <is>
          <t>A2</t>
        </is>
      </c>
      <c r="B9" s="7" t="inlineStr">
        <is>
          <t>Lesen premis makanan atau perniagaan daripada PBT masih sah, sepadan dengan alamat dan aktiviti premis, dan dipamerkan di premis. Bagi premis yang tidak dilesenkan oleh PBT (cth. kantin di institusi kerajaan), dokumen sokongan daripada agensi kerajaan berkaitan masih sah.</t>
        </is>
      </c>
      <c r="C9" s="7" t="inlineStr">
        <is>
          <t>MPPHM 5(2); UUK pelesenan PBT (Akta 171 s. 73, 102)</t>
        </is>
      </c>
      <c r="D9" s="7" t="inlineStr"/>
      <c r="E9" s="7" t="inlineStr"/>
      <c r="F9" t="inlineStr">
        <is>
          <t>A</t>
        </is>
      </c>
    </row>
    <row r="10">
      <c r="A10" s="7" t="inlineStr">
        <is>
          <t>A3</t>
        </is>
      </c>
      <c r="B10" s="7" t="inlineStr">
        <is>
          <t>Premis bergerak (trak makanan): lesen atau permit PBT bagi unit dan tapak operasi masih sah.</t>
        </is>
      </c>
      <c r="C10" s="7" t="inlineStr">
        <is>
          <t>MPPHM 5(2), 18(4)(j)(v); UUK pelesenan PBT</t>
        </is>
      </c>
      <c r="D10" s="7" t="inlineStr"/>
      <c r="E10" s="7" t="inlineStr"/>
      <c r="F10" t="inlineStr">
        <is>
          <t>A</t>
        </is>
      </c>
    </row>
    <row r="11">
      <c r="A11" s="7" t="inlineStr">
        <is>
          <t>A4</t>
        </is>
      </c>
      <c r="B11" s="7" t="inlineStr">
        <is>
          <t>Perakuan Pendaftaran Premis Makanan daripada BKKM masih sah dan dipamerkan di tempat yang mudah dilihat.</t>
        </is>
      </c>
      <c r="C11" s="7" t="inlineStr">
        <is>
          <t>MPPHM 5(3), 18(4)(a); PKM per. 3, 5, 8(1)</t>
        </is>
      </c>
      <c r="D11" s="7" t="inlineStr"/>
      <c r="E11" s="7" t="inlineStr"/>
      <c r="F11" t="inlineStr">
        <is>
          <t>A</t>
        </is>
      </c>
    </row>
    <row r="12">
      <c r="A12" s="7" t="inlineStr">
        <is>
          <t>A5</t>
        </is>
      </c>
      <c r="B12" s="7" t="inlineStr">
        <is>
          <t>Premis bergerak: kenderaan atau unit yang menjual makanan sedia dimakan didaftarkan sebagai premis makanan dengan KKM, dan Perakuan Pendaftaran Premis Makanan bagi unit itu masih sah.</t>
        </is>
      </c>
      <c r="C12" s="7" t="inlineStr">
        <is>
          <t>PKM per. 3, Jadual Pertama; MPPHM 18(4)(a)</t>
        </is>
      </c>
      <c r="D12" s="7" t="inlineStr"/>
      <c r="E12" s="7" t="inlineStr"/>
      <c r="F12" t="inlineStr">
        <is>
          <t>A</t>
        </is>
      </c>
    </row>
    <row r="13">
      <c r="A13" s="7" t="inlineStr">
        <is>
          <t>A6</t>
        </is>
      </c>
      <c r="B13" s="7" t="inlineStr">
        <is>
          <t>Pembaharuan perakuan pendaftaran KKM dimohon sekurang-kurangnya 30 hari sebelum tamat tempoh (tempoh sah maksimum 3 tahun).</t>
        </is>
      </c>
      <c r="C13" s="7" t="inlineStr">
        <is>
          <t>PKM per. 6, 7(1)</t>
        </is>
      </c>
      <c r="D13" s="7" t="inlineStr"/>
      <c r="E13" s="7" t="inlineStr"/>
      <c r="F13" t="inlineStr">
        <is>
          <t>A</t>
        </is>
      </c>
    </row>
    <row r="14">
      <c r="A14" s="7" t="inlineStr">
        <is>
          <t>A7</t>
        </is>
      </c>
      <c r="B14" s="7" t="inlineStr">
        <is>
          <t>Premis telah beroperasi sepenuhnya sekurang-kurangnya 3 bulan sebelum memohon (pemohon baharu), atau sekurang-kurangnya 1 bulan di premis baharu (pindah premis).</t>
        </is>
      </c>
      <c r="C14" s="7" t="inlineStr">
        <is>
          <t>MPPHM 5(7), 5(8)</t>
        </is>
      </c>
      <c r="D14" s="7" t="inlineStr"/>
      <c r="E14" s="7" t="inlineStr"/>
      <c r="F14" t="inlineStr">
        <is>
          <t>A</t>
        </is>
      </c>
    </row>
    <row r="15">
      <c r="A15" s="7" t="inlineStr">
        <is>
          <t>A8</t>
        </is>
      </c>
      <c r="B15" s="7" t="inlineStr">
        <is>
          <t>Premis tidak menyediakan, menghidang atau menjual sebarang menu atau produk tidak halal.</t>
        </is>
      </c>
      <c r="C15" s="7" t="inlineStr">
        <is>
          <t>MPPHM 5(9), 6(1), 6(9)</t>
        </is>
      </c>
      <c r="D15" s="7" t="inlineStr"/>
      <c r="E15" s="7" t="inlineStr"/>
      <c r="F15" t="inlineStr">
        <is>
          <t>A</t>
        </is>
      </c>
    </row>
    <row r="16">
      <c r="A16" s="7" t="inlineStr">
        <is>
          <t>A9</t>
        </is>
      </c>
      <c r="B16" s="7" t="inlineStr">
        <is>
          <t>Syarikat pemilik premis tidak mengusahakan outlet, menu atau perniagaan makanan tidak halal yang lain, dan nama premis atau jenama yang sama tidak digunakan bagi outlet atau produk tidak halal (bagi hotel, outlet yang tidak disijilkan dinilai melalui item khusus hotel).</t>
        </is>
      </c>
      <c r="C16" s="7" t="inlineStr">
        <is>
          <t>MPPHM 6(2), 6(3)</t>
        </is>
      </c>
      <c r="D16" s="7" t="inlineStr"/>
      <c r="E16" s="7" t="inlineStr"/>
      <c r="F16" t="inlineStr">
        <is>
          <t>A</t>
        </is>
      </c>
    </row>
    <row r="17">
      <c r="A17" s="7" t="inlineStr">
        <is>
          <t>A10</t>
        </is>
      </c>
      <c r="B17" s="7" t="inlineStr">
        <is>
          <t>Hotel: tiada dapur dalam hotel yang menyediakan atau menyajikan menu berasaskan babi.</t>
        </is>
      </c>
      <c r="C17" s="7" t="inlineStr">
        <is>
          <t>MPPHM 6(12)</t>
        </is>
      </c>
      <c r="D17" s="7" t="inlineStr"/>
      <c r="E17" s="7" t="inlineStr"/>
      <c r="F17" t="inlineStr">
        <is>
          <t>A</t>
        </is>
      </c>
    </row>
    <row r="18">
      <c r="A18" s="7" t="inlineStr">
        <is>
          <t>A11</t>
        </is>
      </c>
      <c r="B18" s="7" t="inlineStr">
        <is>
          <t>Semua menu yang masih disediakan telah dipohon SPHM, tanpa menu yang tertinggal daripada permohonan.</t>
        </is>
      </c>
      <c r="C18" s="7" t="inlineStr">
        <is>
          <t>MPPHM 5(10), 17(2)(b), 18(4)(h)</t>
        </is>
      </c>
      <c r="D18" s="7" t="inlineStr"/>
      <c r="E18" s="7" t="inlineStr"/>
      <c r="F18" t="inlineStr">
        <is>
          <t>A</t>
        </is>
      </c>
    </row>
    <row r="19">
      <c r="A19" s="7" t="inlineStr">
        <is>
          <t>A12</t>
        </is>
      </c>
      <c r="B19" s="7" t="inlineStr">
        <is>
          <t>Setiap menu baharu dimohon melalui permohonan penambahan menu sebelum dijual sebagai menu halal.</t>
        </is>
      </c>
      <c r="C19" s="7" t="inlineStr">
        <is>
          <t>MPPHM 18(4)(h)</t>
        </is>
      </c>
      <c r="D19" s="7" t="inlineStr"/>
      <c r="E19" s="7" t="inlineStr"/>
      <c r="F19" t="inlineStr">
        <is>
          <t>A</t>
        </is>
      </c>
    </row>
    <row r="20">
      <c r="A20" s="7" t="inlineStr">
        <is>
          <t>A13</t>
        </is>
      </c>
      <c r="B20" s="7" t="inlineStr">
        <is>
          <t>Menu baharu (hasil R&amp;D) yang dipohon sudah sedia dijual: bahannya tersedia untuk disemak semasa audit, tiada perubahan bahan atau label, ujian penyediaan telah dibuat, dan menu diluluskan pengurusan. Menu yang masih dalam R&amp;D dan belum dikomersialkan tidak dipohon.</t>
        </is>
      </c>
      <c r="C20" s="7" t="inlineStr">
        <is>
          <t>MPPHM 17(2)(h), 6(10)</t>
        </is>
      </c>
      <c r="D20" s="7" t="inlineStr"/>
      <c r="E20" s="7" t="inlineStr"/>
      <c r="F20" t="inlineStr">
        <is>
          <t>A</t>
        </is>
      </c>
    </row>
    <row r="21">
      <c r="A21" s="7" t="inlineStr">
        <is>
          <t>A14</t>
        </is>
      </c>
      <c r="B21" s="7" t="inlineStr">
        <is>
          <t>Menu yang tidak disediakan sepanjang tempoh sijil terdahulu telah dikeluarkan daripada senarai permohonan.</t>
        </is>
      </c>
      <c r="C21" s="7" t="inlineStr">
        <is>
          <t>MPPHM 17(2)(e)</t>
        </is>
      </c>
      <c r="D21" s="7" t="inlineStr"/>
      <c r="E21" s="7" t="inlineStr"/>
      <c r="F21" t="inlineStr">
        <is>
          <t>A</t>
        </is>
      </c>
    </row>
    <row r="22">
      <c r="A22" s="7" t="inlineStr">
        <is>
          <t>A15</t>
        </is>
      </c>
      <c r="B22" s="7" t="inlineStr">
        <is>
          <t>Nama syarikat, premis, jenama, menu dan ramuan tidak menggunakan perkataan 'halal'.</t>
        </is>
      </c>
      <c r="C22" s="7" t="inlineStr">
        <is>
          <t>MPPHM 5(12)</t>
        </is>
      </c>
      <c r="D22" s="7" t="inlineStr"/>
      <c r="E22" s="7" t="inlineStr"/>
      <c r="F22" t="inlineStr">
        <is>
          <t>A</t>
        </is>
      </c>
    </row>
    <row r="23">
      <c r="A23" s="7" t="inlineStr">
        <is>
          <t>A16</t>
        </is>
      </c>
      <c r="B23" s="7" t="inlineStr">
        <is>
          <t>Dapur pusat yang membekalkan makanan kepada outlet sudah memegang SPHM di bawah skim Produk Makanan dan Minuman.</t>
        </is>
      </c>
      <c r="C23" s="7" t="inlineStr">
        <is>
          <t>MPPHM 18(4)(e)</t>
        </is>
      </c>
      <c r="D23" s="7" t="inlineStr"/>
      <c r="E23" s="7" t="inlineStr"/>
      <c r="F23" t="inlineStr">
        <is>
          <t>A</t>
        </is>
      </c>
    </row>
    <row r="24">
      <c r="A24" s="7" t="inlineStr">
        <is>
          <t>A17</t>
        </is>
      </c>
      <c r="B24" s="7" t="inlineStr">
        <is>
          <t>Premis berangkai (3 outlet atau lebih dengan jenama sama, termasuk restoran/kafe, kantin, bakeri, premis bergerak dan kiosk): permohonan dibuat bagi setiap lokasi premis dan diuruskan secara berpusat.</t>
        </is>
      </c>
      <c r="C24" s="7" t="inlineStr">
        <is>
          <t>MPPHM 18(4)(f), 18(4)(j)(ii), 18(4)(j)(v), 18(4)(j)(vii)</t>
        </is>
      </c>
      <c r="D24" s="7" t="inlineStr"/>
      <c r="E24" s="7" t="inlineStr"/>
      <c r="F24" t="inlineStr">
        <is>
          <t>A</t>
        </is>
      </c>
    </row>
    <row r="25">
      <c r="A25" s="7" t="inlineStr">
        <is>
          <t>A18</t>
        </is>
      </c>
      <c r="B25" s="7" t="inlineStr">
        <is>
          <t>Hotel: senarai semua dapur dan restoran yang beroperasi di hotel telah dikemukakan dalam permohonan MYeHALAL.</t>
        </is>
      </c>
      <c r="C25" s="7" t="inlineStr">
        <is>
          <t>MPPHM 18(4)(j)(i)</t>
        </is>
      </c>
      <c r="D25" s="7" t="inlineStr"/>
      <c r="E25" s="7" t="inlineStr"/>
      <c r="F25" t="inlineStr">
        <is>
          <t>A</t>
        </is>
      </c>
    </row>
    <row r="26">
      <c r="A26" s="7" t="inlineStr">
        <is>
          <t>A19</t>
        </is>
      </c>
      <c r="B26" s="7" t="inlineStr">
        <is>
          <t>Katering/khidmat penyajian/dapur pusat konvensyen: permohonan meliputi keseluruhan premis dapur.</t>
        </is>
      </c>
      <c r="C26" s="7" t="inlineStr">
        <is>
          <t>MPPHM 18(4)(j)(iv)</t>
        </is>
      </c>
      <c r="D26" s="7" t="inlineStr"/>
      <c r="E26" s="7" t="inlineStr"/>
      <c r="F26" t="inlineStr">
        <is>
          <t>A</t>
        </is>
      </c>
    </row>
    <row r="27">
      <c r="A27" s="7" t="inlineStr">
        <is>
          <t>A20</t>
        </is>
      </c>
      <c r="B27" s="7" t="inlineStr">
        <is>
          <t>Medan selera di bawah pengurusan berpusat: permohonan dibuat oleh pihak pengurusan medan selera.</t>
        </is>
      </c>
      <c r="C27" s="7" t="inlineStr">
        <is>
          <t>MPPHM 18(4)(j)(vi)</t>
        </is>
      </c>
      <c r="D27" s="7" t="inlineStr"/>
      <c r="E27" s="7" t="inlineStr"/>
      <c r="F27" t="inlineStr">
        <is>
          <t>A</t>
        </is>
      </c>
    </row>
    <row r="28">
      <c r="A28" s="7" t="inlineStr">
        <is>
          <t>A21</t>
        </is>
      </c>
      <c r="B28" s="7" t="inlineStr">
        <is>
          <t>Rumusan (ditanda selepas audit lapangan): keputusan semakan bahagian C hingga M tidak menunjukkan ketidakakuran yang belum diperbetulkan terhadap MS 1500:2019, Akta Makanan 1983, PM 1985 dan PKM 2009.</t>
        </is>
      </c>
      <c r="C28" s="7" t="inlineStr">
        <is>
          <t>MPPHM 18(4)(d); MS 1500 kl. 4.8*, kl. 5*</t>
        </is>
      </c>
      <c r="D28" s="7" t="inlineStr"/>
      <c r="E28" s="7" t="inlineStr"/>
      <c r="F28" t="inlineStr">
        <is>
          <t>A</t>
        </is>
      </c>
    </row>
    <row r="29">
      <c r="A29" s="4" t="inlineStr">
        <is>
          <t>Bahagian B: Pengurusan Halal &amp; MHMS mengikut Jenis Premis</t>
        </is>
      </c>
      <c r="B29" s="5" t="n"/>
      <c r="C29" s="5" t="n"/>
      <c r="D29" s="5" t="n"/>
      <c r="E29" s="6" t="n"/>
    </row>
    <row r="30" ht="26" customHeight="1">
      <c r="A30" s="2" t="inlineStr">
        <is>
          <t>Semak manual HAS/IHCS, surat lantikan, minit mesyuarat dan laporan audit, kemudian sahkan melalui temu bual dengan pengurusan, Eksekutif/Penyelia Halal dan pekerja.</t>
        </is>
      </c>
    </row>
    <row r="31">
      <c r="A31" s="7" t="inlineStr">
        <is>
          <t>B1</t>
        </is>
      </c>
      <c r="B31" s="7" t="inlineStr">
        <is>
          <t>Jenis premis (hotel, restoran/kafe, kantin, bakeri, rangkaian, katering, premis bergerak, medan selera, kiosk) dan saiz industri dikenal pasti dengan betul untuk menentukan sistem yang diperlukan, sama ada HAS atau IHCS.</t>
        </is>
      </c>
      <c r="C31" s="7" t="inlineStr">
        <is>
          <t>MPPHM 18(4)(i), 18(4)(j); MHMS 7(2)</t>
        </is>
      </c>
      <c r="D31" s="7" t="inlineStr"/>
      <c r="E31" s="7" t="inlineStr"/>
      <c r="F31" t="inlineStr">
        <is>
          <t>B</t>
        </is>
      </c>
    </row>
    <row r="32">
      <c r="A32" s="7" t="inlineStr">
        <is>
          <t>B2</t>
        </is>
      </c>
      <c r="B32" s="7" t="inlineStr">
        <is>
          <t>Pengurusan atasan menunjukkan komitmen terhadap halal: tanggungjawab ditetapkan, dan sumber kewangan, infrastruktur serta tenaga kerja disediakan.</t>
        </is>
      </c>
      <c r="C32" s="7" t="inlineStr">
        <is>
          <t>MS 1500 kl. 4.1*</t>
        </is>
      </c>
      <c r="D32" s="7" t="inlineStr"/>
      <c r="E32" s="7" t="inlineStr"/>
      <c r="F32" t="inlineStr">
        <is>
          <t>B</t>
        </is>
      </c>
    </row>
    <row r="33">
      <c r="A33" s="7" t="inlineStr">
        <is>
          <t>B3</t>
        </is>
      </c>
      <c r="B33" s="7" t="inlineStr">
        <is>
          <t>Polisi halal bertulis diluluskan pengurusan atasan, dipamerkan dan dimaklumkan kepada pekerja dan pihak berkepentingan. Pekerja yang ditemu bual dapat menerangkannya.</t>
        </is>
      </c>
      <c r="C33" s="7" t="inlineStr">
        <is>
          <t>MHMS 5(1), 5(2) (Polisi Halal), 6</t>
        </is>
      </c>
      <c r="D33" s="7" t="inlineStr"/>
      <c r="E33" s="7" t="inlineStr"/>
      <c r="F33" t="inlineStr">
        <is>
          <t>B</t>
        </is>
      </c>
    </row>
    <row r="34">
      <c r="A34" s="7" t="inlineStr">
        <is>
          <t>B4</t>
        </is>
      </c>
      <c r="B34" s="7" t="inlineStr">
        <is>
          <t>Premis IHCS (restoran/kafe, kantin, bakeri, katering kecil/mikro, premis bergerak, kiosk): manual IHCS mengandungi polisi halal, prosedur kawalan bahan mentah atau prosedur kawalan risiko halal, dan prosedur kebolehkesanan.</t>
        </is>
      </c>
      <c r="C34" s="7" t="inlineStr">
        <is>
          <t>MPPHM 18(4)(i), 19; MHMS 6, 7(2)</t>
        </is>
      </c>
      <c r="D34" s="7" t="inlineStr"/>
      <c r="E34" s="7" t="inlineStr"/>
      <c r="F34" t="inlineStr">
        <is>
          <t>B</t>
        </is>
      </c>
    </row>
    <row r="35">
      <c r="A35" s="7" t="inlineStr">
        <is>
          <t>B5</t>
        </is>
      </c>
      <c r="B35" s="7" t="inlineStr">
        <is>
          <t>Restoran/kafe, kantin, bakeri: sekurang-kurangnya 1 pekerja Muslim warganegara Malaysia berjawatan tetap dilantik bagi setiap premis dan bertugas sepanjang tempoh operasi atau syif.</t>
        </is>
      </c>
      <c r="C35" s="7" t="inlineStr">
        <is>
          <t>MPPHM 18(4)(j)(ii)</t>
        </is>
      </c>
      <c r="D35" s="7" t="inlineStr"/>
      <c r="E35" s="7" t="inlineStr"/>
      <c r="F35" t="inlineStr">
        <is>
          <t>B</t>
        </is>
      </c>
    </row>
    <row r="36">
      <c r="A36" s="7" t="inlineStr">
        <is>
          <t>B6</t>
        </is>
      </c>
      <c r="B36" s="7" t="inlineStr">
        <is>
          <t>Restoran/kafe, kantin, bakeri: Penyelia Halal (Muslim, warganegara Malaysia, berjawatan tetap) dilantik secara bertulis di premis.</t>
        </is>
      </c>
      <c r="C36" s="7" t="inlineStr">
        <is>
          <t>MPPHM 3, 18(4)(j)(ii)</t>
        </is>
      </c>
      <c r="D36" s="7" t="inlineStr"/>
      <c r="E36" s="7" t="inlineStr"/>
      <c r="F36" t="inlineStr">
        <is>
          <t>B</t>
        </is>
      </c>
    </row>
    <row r="37">
      <c r="A37" s="7" t="inlineStr">
        <is>
          <t>B7</t>
        </is>
      </c>
      <c r="B37" s="7" t="inlineStr">
        <is>
          <t>Hotel: sekurang-kurangnya 2 pekerja Muslim berjawatan tetap dilantik bagi setiap dapur dan bertugas sepanjang tempoh operasi atau syif.</t>
        </is>
      </c>
      <c r="C37" s="7" t="inlineStr">
        <is>
          <t>MPPHM 18(4)(j)(i)</t>
        </is>
      </c>
      <c r="D37" s="7" t="inlineStr"/>
      <c r="E37" s="7" t="inlineStr"/>
      <c r="F37" t="inlineStr">
        <is>
          <t>B</t>
        </is>
      </c>
    </row>
    <row r="38">
      <c r="A38" s="7" t="inlineStr">
        <is>
          <t>B8</t>
        </is>
      </c>
      <c r="B38" s="7" t="inlineStr">
        <is>
          <t>Hotel: Eksekutif Halal dilantik bagi setiap hotel atau cawangan.</t>
        </is>
      </c>
      <c r="C38" s="7" t="inlineStr">
        <is>
          <t>MPPHM 18(4)(j)(i); MHMS 7(2)</t>
        </is>
      </c>
      <c r="D38" s="7" t="inlineStr"/>
      <c r="E38" s="7" t="inlineStr"/>
      <c r="F38" t="inlineStr">
        <is>
          <t>B</t>
        </is>
      </c>
    </row>
    <row r="39">
      <c r="A39" s="7" t="inlineStr">
        <is>
          <t>B9</t>
        </is>
      </c>
      <c r="B39" s="7" t="inlineStr">
        <is>
          <t>Hotel: Jawatankuasa Halal Dalaman (JKHD) ditubuhkan bagi setiap hotel atau cawangan, dengan Pengurus F&amp;B dan/atau Ketua Chef sebagai ahli.</t>
        </is>
      </c>
      <c r="C39" s="7" t="inlineStr">
        <is>
          <t>MPPHM 18(4)(j)(i); MHMS 7(2)</t>
        </is>
      </c>
      <c r="D39" s="7" t="inlineStr"/>
      <c r="E39" s="7" t="inlineStr"/>
      <c r="F39" t="inlineStr">
        <is>
          <t>B</t>
        </is>
      </c>
    </row>
    <row r="40">
      <c r="A40" s="7" t="inlineStr">
        <is>
          <t>B10</t>
        </is>
      </c>
      <c r="B40" s="7" t="inlineStr">
        <is>
          <t>Hotel: HAS dilaksanakan bagi semua dapur dan restoran yang dipohon.</t>
        </is>
      </c>
      <c r="C40" s="7" t="inlineStr">
        <is>
          <t>MPPHM 18(4)(j)(i); MHMS 7(2)</t>
        </is>
      </c>
      <c r="D40" s="7" t="inlineStr"/>
      <c r="E40" s="7" t="inlineStr"/>
      <c r="F40" t="inlineStr">
        <is>
          <t>B</t>
        </is>
      </c>
    </row>
    <row r="41">
      <c r="A41" s="7" t="inlineStr">
        <is>
          <t>B11</t>
        </is>
      </c>
      <c r="B41" s="7" t="inlineStr">
        <is>
          <t>Rangkaian: sekurang-kurangnya 1 pekerja Muslim warganegara Malaysia berjawatan tetap dilantik bagi setiap outlet dan bertugas sepanjang tempoh operasi atau syif.</t>
        </is>
      </c>
      <c r="C41" s="7" t="inlineStr">
        <is>
          <t>MPPHM 18(4)(j)(iii)</t>
        </is>
      </c>
      <c r="D41" s="7" t="inlineStr"/>
      <c r="E41" s="7" t="inlineStr"/>
      <c r="F41" t="inlineStr">
        <is>
          <t>B</t>
        </is>
      </c>
    </row>
    <row r="42">
      <c r="A42" s="7" t="inlineStr">
        <is>
          <t>B12</t>
        </is>
      </c>
      <c r="B42" s="7" t="inlineStr">
        <is>
          <t>Rangkaian: Eksekutif Halal dilantik di peringkat pengurusan atau dapur pusat bagi jenama atau rangkaian itu.</t>
        </is>
      </c>
      <c r="C42" s="7" t="inlineStr">
        <is>
          <t>MPPHM 18(4)(j)(iii); MHMS 7(2)</t>
        </is>
      </c>
      <c r="D42" s="7" t="inlineStr"/>
      <c r="E42" s="7" t="inlineStr"/>
      <c r="F42" t="inlineStr">
        <is>
          <t>B</t>
        </is>
      </c>
    </row>
    <row r="43">
      <c r="A43" s="7" t="inlineStr">
        <is>
          <t>B13</t>
        </is>
      </c>
      <c r="B43" s="7" t="inlineStr">
        <is>
          <t>Rangkaian: JKHD ditubuhkan di peringkat pengurusan atau dapur pusat, dengan Pengurus Operasi sebagai ahli.</t>
        </is>
      </c>
      <c r="C43" s="7" t="inlineStr">
        <is>
          <t>MPPHM 18(4)(j)(iii); MHMS 7(2)</t>
        </is>
      </c>
      <c r="D43" s="7" t="inlineStr"/>
      <c r="E43" s="7" t="inlineStr"/>
      <c r="F43" t="inlineStr">
        <is>
          <t>B</t>
        </is>
      </c>
    </row>
    <row r="44">
      <c r="A44" s="7" t="inlineStr">
        <is>
          <t>B14</t>
        </is>
      </c>
      <c r="B44" s="7" t="inlineStr">
        <is>
          <t>Rangkaian: HAS dibangunkan di peringkat pengurusan dan dilaksanakan di setiap outlet, dan senarai lengkap outlet di bawah pemilikan yang sama sentiasa dikemas kini.</t>
        </is>
      </c>
      <c r="C44" s="7" t="inlineStr">
        <is>
          <t>MPPHM 18(4)(j)(iii); MHMS 7(2)</t>
        </is>
      </c>
      <c r="D44" s="7" t="inlineStr"/>
      <c r="E44" s="7" t="inlineStr"/>
      <c r="F44" t="inlineStr">
        <is>
          <t>B</t>
        </is>
      </c>
    </row>
    <row r="45">
      <c r="A45" s="7" t="inlineStr">
        <is>
          <t>B15</t>
        </is>
      </c>
      <c r="B45" s="7" t="inlineStr">
        <is>
          <t>Katering/khidmat penyajian/dapur pusat konvensyen (besar/sederhana): sekurang-kurangnya 2 pekerja Muslim berjawatan tetap bagi setiap dapur atau bahagian penyediaan makanan dan minuman, sepanjang tempoh operasi atau syif.</t>
        </is>
      </c>
      <c r="C45" s="7" t="inlineStr">
        <is>
          <t>MPPHM 18(4)(j)(iv)</t>
        </is>
      </c>
      <c r="D45" s="7" t="inlineStr"/>
      <c r="E45" s="7" t="inlineStr"/>
      <c r="F45" t="inlineStr">
        <is>
          <t>B</t>
        </is>
      </c>
    </row>
    <row r="46">
      <c r="A46" s="7" t="inlineStr">
        <is>
          <t>B16</t>
        </is>
      </c>
      <c r="B46" s="7" t="inlineStr">
        <is>
          <t>Katering (besar/sederhana): Eksekutif Halal dilantik bagi setiap premis.</t>
        </is>
      </c>
      <c r="C46" s="7" t="inlineStr">
        <is>
          <t>MPPHM 18(4)(j)(iv); MHMS 7(2)</t>
        </is>
      </c>
      <c r="D46" s="7" t="inlineStr"/>
      <c r="E46" s="7" t="inlineStr"/>
      <c r="F46" t="inlineStr">
        <is>
          <t>B</t>
        </is>
      </c>
    </row>
    <row r="47">
      <c r="A47" s="7" t="inlineStr">
        <is>
          <t>B17</t>
        </is>
      </c>
      <c r="B47" s="7" t="inlineStr">
        <is>
          <t>Katering (besar/sederhana): JKHD ditubuhkan bagi premis dan bagi setiap cawangan yang beroperasi berasingan, dengan Pengurus F&amp;B dan/atau Ketua Chef sebagai ahli.</t>
        </is>
      </c>
      <c r="C47" s="7" t="inlineStr">
        <is>
          <t>MPPHM 18(4)(j)(iv); MHMS 7(2)</t>
        </is>
      </c>
      <c r="D47" s="7" t="inlineStr"/>
      <c r="E47" s="7" t="inlineStr"/>
      <c r="F47" t="inlineStr">
        <is>
          <t>B</t>
        </is>
      </c>
    </row>
    <row r="48">
      <c r="A48" s="7" t="inlineStr">
        <is>
          <t>B18</t>
        </is>
      </c>
      <c r="B48" s="7" t="inlineStr">
        <is>
          <t>Katering (besar/sederhana): HAS dilaksanakan mengikut Manual MHMS 2020.</t>
        </is>
      </c>
      <c r="C48" s="7" t="inlineStr">
        <is>
          <t>MPPHM 18(4)(j)(iv); MHMS 7(2)</t>
        </is>
      </c>
      <c r="D48" s="7" t="inlineStr"/>
      <c r="E48" s="7" t="inlineStr"/>
      <c r="F48" t="inlineStr">
        <is>
          <t>B</t>
        </is>
      </c>
    </row>
    <row r="49">
      <c r="A49" s="7" t="inlineStr">
        <is>
          <t>B19</t>
        </is>
      </c>
      <c r="B49" s="7" t="inlineStr">
        <is>
          <t>Katering (kecil): sekurang-kurangnya 1 pekerja Muslim warganegara Malaysia berjawatan tetap bagi setiap premis, bertugas sepanjang tempoh operasi atau syif.</t>
        </is>
      </c>
      <c r="C49" s="7" t="inlineStr">
        <is>
          <t>MPPHM 18(4)(j)(iv)</t>
        </is>
      </c>
      <c r="D49" s="7" t="inlineStr"/>
      <c r="E49" s="7" t="inlineStr"/>
      <c r="F49" t="inlineStr">
        <is>
          <t>B</t>
        </is>
      </c>
    </row>
    <row r="50">
      <c r="A50" s="7" t="inlineStr">
        <is>
          <t>B20</t>
        </is>
      </c>
      <c r="B50" s="7" t="inlineStr">
        <is>
          <t>Katering (kecil): Penyelia Halal dilantik di premis.</t>
        </is>
      </c>
      <c r="C50" s="7" t="inlineStr">
        <is>
          <t>MPPHM 18(4)(j)(iv)</t>
        </is>
      </c>
      <c r="D50" s="7" t="inlineStr"/>
      <c r="E50" s="7" t="inlineStr"/>
      <c r="F50" t="inlineStr">
        <is>
          <t>B</t>
        </is>
      </c>
    </row>
    <row r="51">
      <c r="A51" s="7" t="inlineStr">
        <is>
          <t>B21</t>
        </is>
      </c>
      <c r="B51" s="7" t="inlineStr">
        <is>
          <t>Premis bergerak: sekurang-kurangnya 1 pekerja Muslim warganegara Malaysia berjawatan tetap bertugas di kawasan penyediaan sepanjang tempoh operasi atau syif.</t>
        </is>
      </c>
      <c r="C51" s="7" t="inlineStr">
        <is>
          <t>MPPHM 18(4)(j)(v)</t>
        </is>
      </c>
      <c r="D51" s="7" t="inlineStr"/>
      <c r="E51" s="7" t="inlineStr"/>
      <c r="F51" t="inlineStr">
        <is>
          <t>B</t>
        </is>
      </c>
    </row>
    <row r="52">
      <c r="A52" s="7" t="inlineStr">
        <is>
          <t>B22</t>
        </is>
      </c>
      <c r="B52" s="7" t="inlineStr">
        <is>
          <t>Medan selera: sekurang-kurangnya 1 pekerja Muslim warganegara Malaysia berjawatan tetap bertugas di kawasan penyediaan sepanjang tempoh operasi atau syif.</t>
        </is>
      </c>
      <c r="C52" s="7" t="inlineStr">
        <is>
          <t>MPPHM 18(4)(j)(vi)</t>
        </is>
      </c>
      <c r="D52" s="7" t="inlineStr"/>
      <c r="E52" s="7" t="inlineStr"/>
      <c r="F52" t="inlineStr">
        <is>
          <t>B</t>
        </is>
      </c>
    </row>
    <row r="53">
      <c r="A53" s="7" t="inlineStr">
        <is>
          <t>B23</t>
        </is>
      </c>
      <c r="B53" s="7" t="inlineStr">
        <is>
          <t>Medan selera: Eksekutif Halal dilantik di peringkat pengurusan medan selera.</t>
        </is>
      </c>
      <c r="C53" s="7" t="inlineStr">
        <is>
          <t>MPPHM 18(4)(j)(vi); MHMS 7(2)</t>
        </is>
      </c>
      <c r="D53" s="7" t="inlineStr"/>
      <c r="E53" s="7" t="inlineStr"/>
      <c r="F53" t="inlineStr">
        <is>
          <t>B</t>
        </is>
      </c>
    </row>
    <row r="54">
      <c r="A54" s="7" t="inlineStr">
        <is>
          <t>B24</t>
        </is>
      </c>
      <c r="B54" s="7" t="inlineStr">
        <is>
          <t>Medan selera: JKHD ditubuhkan dan dianggotai oleh wakil penyewa medan selera.</t>
        </is>
      </c>
      <c r="C54" s="7" t="inlineStr">
        <is>
          <t>MPPHM 18(4)(j)(vi)</t>
        </is>
      </c>
      <c r="D54" s="7" t="inlineStr"/>
      <c r="E54" s="7" t="inlineStr"/>
      <c r="F54" t="inlineStr">
        <is>
          <t>B</t>
        </is>
      </c>
    </row>
    <row r="55">
      <c r="A55" s="7" t="inlineStr">
        <is>
          <t>B25</t>
        </is>
      </c>
      <c r="B55" s="7" t="inlineStr">
        <is>
          <t>Medan selera: HAS dibangunkan di peringkat pengurusan dan dilaksanakan di setiap premis atau gerai.</t>
        </is>
      </c>
      <c r="C55" s="7" t="inlineStr">
        <is>
          <t>MPPHM 18(4)(j)(vi); MHMS 7(2)</t>
        </is>
      </c>
      <c r="D55" s="7" t="inlineStr"/>
      <c r="E55" s="7" t="inlineStr"/>
      <c r="F55" t="inlineStr">
        <is>
          <t>B</t>
        </is>
      </c>
    </row>
    <row r="56">
      <c r="A56" s="7" t="inlineStr">
        <is>
          <t>B26</t>
        </is>
      </c>
      <c r="B56" s="7" t="inlineStr">
        <is>
          <t>Rangkaian dan medan selera: dokumen HAS tersedia untuk disemak semasa pemeriksaan di dapur pusat atau pejabat pengurusan, dan di setiap outlet atau gerai.</t>
        </is>
      </c>
      <c r="C56" s="7" t="inlineStr">
        <is>
          <t>MHMS 7(2)</t>
        </is>
      </c>
      <c r="D56" s="7" t="inlineStr"/>
      <c r="E56" s="7" t="inlineStr"/>
      <c r="F56" t="inlineStr">
        <is>
          <t>B</t>
        </is>
      </c>
    </row>
    <row r="57">
      <c r="A57" s="7" t="inlineStr">
        <is>
          <t>B27</t>
        </is>
      </c>
      <c r="B57" s="7" t="inlineStr">
        <is>
          <t>Kiosk: sekurang-kurangnya 1 pekerja Muslim warganegara Malaysia berjawatan tetap bagi setiap kiosk, sepanjang tempoh operasi atau syif.</t>
        </is>
      </c>
      <c r="C57" s="7" t="inlineStr">
        <is>
          <t>MPPHM 18(4)(j)(vii)</t>
        </is>
      </c>
      <c r="D57" s="7" t="inlineStr"/>
      <c r="E57" s="7" t="inlineStr"/>
      <c r="F57" t="inlineStr">
        <is>
          <t>B</t>
        </is>
      </c>
    </row>
    <row r="58">
      <c r="A58" s="7" t="inlineStr">
        <is>
          <t>B28</t>
        </is>
      </c>
      <c r="B58" s="7" t="inlineStr">
        <is>
          <t>Eksekutif Halal (hotel, rangkaian, katering besar/sederhana, medan selera) memenuhi kelayakan: Muslim, warganegara Malaysia, berjawatan tetap, memiliki Diploma Pengurusan Halal atau setara atau 5 tahun pengalaman pengurusan halal, serta Sijil Eksekutif Halal daripada penyedia latihan berdaftar dengan HPB JAKIM.</t>
        </is>
      </c>
      <c r="C58" s="7" t="inlineStr">
        <is>
          <t>MPPHM 3; MHMS 5(3) (Eksekutif Halal)</t>
        </is>
      </c>
      <c r="D58" s="7" t="inlineStr"/>
      <c r="E58" s="7" t="inlineStr"/>
      <c r="F58" t="inlineStr">
        <is>
          <t>B</t>
        </is>
      </c>
    </row>
    <row r="59">
      <c r="A59" s="7" t="inlineStr">
        <is>
          <t>B29</t>
        </is>
      </c>
      <c r="B59" s="7" t="inlineStr">
        <is>
          <t>Eksekutif Halal (hotel, rangkaian, katering besar/sederhana, medan selera) dilantik secara rasmi dan bertulis oleh pengurusan tertinggi, dan tugas lain yang diberikan kepadanya tidak menjejaskan fungsi pengurusan halal.</t>
        </is>
      </c>
      <c r="C59" s="7" t="inlineStr">
        <is>
          <t>MHMS 5(3) (Eksekutif Halal)</t>
        </is>
      </c>
      <c r="D59" s="7" t="inlineStr"/>
      <c r="E59" s="7" t="inlineStr"/>
      <c r="F59" t="inlineStr">
        <is>
          <t>B</t>
        </is>
      </c>
    </row>
    <row r="60">
      <c r="A60" s="7" t="inlineStr">
        <is>
          <t>B30</t>
        </is>
      </c>
      <c r="B60" s="7" t="inlineStr">
        <is>
          <t>HAS (hotel, rangkaian, katering besar/sederhana, medan selera): manual HAS selaras dengan operasi sebenar, didokumenkan berasingan daripada sistem lain, dikemas kini apabila berlaku perubahan, dan diluluskan pengurusan tertinggi dengan tarikh berkuat kuasa. Manual merangkumi profil syarikat, objektif, skop, polisi halal, JKHD dan 8 prosedur: audit halal dalaman, kawalan risiko halal, kawalan bahan mentah, latihan halal, kebolehkesanan, semakan HAS, analisis makmal dan sertu.</t>
        </is>
      </c>
      <c r="C60" s="7" t="inlineStr">
        <is>
          <t>MPPHM 20; MHMS 5(1) (Manual HAS)</t>
        </is>
      </c>
      <c r="D60" s="7" t="inlineStr"/>
      <c r="E60" s="7" t="inlineStr"/>
      <c r="F60" t="inlineStr">
        <is>
          <t>B</t>
        </is>
      </c>
    </row>
    <row r="61">
      <c r="A61" s="7" t="inlineStr">
        <is>
          <t>B31</t>
        </is>
      </c>
      <c r="B61" s="7" t="inlineStr">
        <is>
          <t>HAS (hotel, rangkaian, katering besar/sederhana, medan selera): JKHD dilantik secara rasmi dan bertulis oleh pengurusan tertinggi, dengan sekurang-kurangnya 4 ahli (Pengerusi, Eksekutif Halal, wakil pembelian, wakil penyediaan/dapur). Setiap ahli mempunyai huraian tugas bertulis.</t>
        </is>
      </c>
      <c r="C61" s="7" t="inlineStr">
        <is>
          <t>MPPHM 3; MHMS 5(4) (JKHD)</t>
        </is>
      </c>
      <c r="D61" s="7" t="inlineStr"/>
      <c r="E61" s="7" t="inlineStr"/>
      <c r="F61" t="inlineStr">
        <is>
          <t>B</t>
        </is>
      </c>
    </row>
    <row r="62">
      <c r="A62" s="7" t="inlineStr">
        <is>
          <t>B32</t>
        </is>
      </c>
      <c r="B62" s="7" t="inlineStr">
        <is>
          <t>HAS: Pengerusi JKHD berjawatan setara atau lebih tinggi daripada Eksekutif Halal dan kompeten dalam halal (keutamaan diberi kepada Muslim). Carta organisasi JKHD tersedia, dan rekod JKHD mudah dirujuk semasa pemeriksaan.</t>
        </is>
      </c>
      <c r="C62" s="7" t="inlineStr">
        <is>
          <t>MHMS 5(4) (JKHD)</t>
        </is>
      </c>
      <c r="D62" s="7" t="inlineStr"/>
      <c r="E62" s="7" t="inlineStr"/>
      <c r="F62" t="inlineStr">
        <is>
          <t>B</t>
        </is>
      </c>
    </row>
    <row r="63">
      <c r="A63" s="7" t="inlineStr">
        <is>
          <t>B33</t>
        </is>
      </c>
      <c r="B63" s="7" t="inlineStr">
        <is>
          <t>HAS: JKHD bermesyuarat sekurang-kurangnya 2 kali setahun, dan minit mesyuarat disimpan.</t>
        </is>
      </c>
      <c r="C63" s="7" t="inlineStr">
        <is>
          <t>MHMS 5(4) (JKHD)</t>
        </is>
      </c>
      <c r="D63" s="7" t="inlineStr"/>
      <c r="E63" s="7" t="inlineStr"/>
      <c r="F63" t="inlineStr">
        <is>
          <t>B</t>
        </is>
      </c>
    </row>
    <row r="64">
      <c r="A64" s="7" t="inlineStr">
        <is>
          <t>B34</t>
        </is>
      </c>
      <c r="B64" s="7" t="inlineStr">
        <is>
          <t>HAS (dan premis IHCS yang memilih prosedur kawalan risiko halal): titik kawalan halal (HCP) dikenal pasti berdasarkan carta alir dan pelan lantai, merangkumi pembangunan menu (R&amp;D), menu dan perkhidmatan, penyediaan, premis dan peralatan, pekerja, pembungkusan, penyimpanan serta pengangkutan atau penghantaran.</t>
        </is>
      </c>
      <c r="C64" s="7" t="inlineStr">
        <is>
          <t>MHMS 5(6) (Kawalan Risiko Halal), 6; MPPHM 19</t>
        </is>
      </c>
      <c r="D64" s="7" t="inlineStr"/>
      <c r="E64" s="7" t="inlineStr"/>
      <c r="F64" t="inlineStr">
        <is>
          <t>B</t>
        </is>
      </c>
    </row>
    <row r="65">
      <c r="A65" s="7" t="inlineStr">
        <is>
          <t>B35</t>
        </is>
      </c>
      <c r="B65" s="7" t="inlineStr">
        <is>
          <t>HAS (dan premis IHCS yang memilih prosedur kawalan risiko halal): bagi setiap HCP, pelan menyatakan risiko halal, kaedah kawalan, kekerapan, PIC, tindakan pembetulan dan rekod. Kawalan risiko halal ini didokumenkan berasingan daripada sistem keselamatan makanan premis (cth. BeSS, atau HACCP jika ada).</t>
        </is>
      </c>
      <c r="C65" s="7" t="inlineStr">
        <is>
          <t>MHMS 5(6) (Kawalan Risiko Halal)</t>
        </is>
      </c>
      <c r="D65" s="7" t="inlineStr"/>
      <c r="E65" s="7" t="inlineStr"/>
      <c r="F65" t="inlineStr">
        <is>
          <t>B</t>
        </is>
      </c>
    </row>
    <row r="66">
      <c r="A66" s="7" t="inlineStr">
        <is>
          <t>B36</t>
        </is>
      </c>
      <c r="B66" s="7" t="inlineStr">
        <is>
          <t>HAS: audit halal dalaman dibuat sekurang-kurangnya sekali setahun bagi setiap premis atau cawangan (bagi rangkaian dan medan selera: semua outlet atau gerai). Juruaudit dilantik JKHD dan memegang Sijil Audit Halal Dalaman atau Sijil Eksekutif Halal.</t>
        </is>
      </c>
      <c r="C66" s="7" t="inlineStr">
        <is>
          <t>MHMS 5(5) (Audit Halal Dalaman), 7(2)</t>
        </is>
      </c>
      <c r="D66" s="7" t="inlineStr"/>
      <c r="E66" s="7" t="inlineStr"/>
      <c r="F66" t="inlineStr">
        <is>
          <t>B</t>
        </is>
      </c>
    </row>
    <row r="67">
      <c r="A67" s="7" t="inlineStr">
        <is>
          <t>B37</t>
        </is>
      </c>
      <c r="B67" s="7" t="inlineStr">
        <is>
          <t>HAS: laporan dan senarai semak audit halal dalaman (meliputi semakan dokumen, pemeriksaan lapangan dan HCP) direkodkan dan dibentangkan kepada JKHD. Audit pembekal dibuat jika perlu.</t>
        </is>
      </c>
      <c r="C67" s="7" t="inlineStr">
        <is>
          <t>MHMS 5(5) (Audit Halal Dalaman)</t>
        </is>
      </c>
      <c r="D67" s="7" t="inlineStr"/>
      <c r="E67" s="7" t="inlineStr"/>
      <c r="F67" t="inlineStr">
        <is>
          <t>B</t>
        </is>
      </c>
    </row>
    <row r="68">
      <c r="A68" s="7" t="inlineStr">
        <is>
          <t>B38</t>
        </is>
      </c>
      <c r="B68" s="7" t="inlineStr">
        <is>
          <t>HAS: tindakan pembetulan bagi ketidakakuran audit dalaman diambil dalam tempoh 14 hari (atau tempoh yang dipersetujui) dan disahkan oleh JKHD.</t>
        </is>
      </c>
      <c r="C68" s="7" t="inlineStr">
        <is>
          <t>MHMS 5(5) (Audit Halal Dalaman)</t>
        </is>
      </c>
      <c r="D68" s="7" t="inlineStr"/>
      <c r="E68" s="7" t="inlineStr"/>
      <c r="F68" t="inlineStr">
        <is>
          <t>B</t>
        </is>
      </c>
    </row>
    <row r="69">
      <c r="A69" s="7" t="inlineStr">
        <is>
          <t>B39</t>
        </is>
      </c>
      <c r="B69" s="7" t="inlineStr">
        <is>
          <t>Semakan HAS dibuat oleh JKHD bersama pengurusan atasan sekurang-kurangnya sekali setahun, dan keputusannya diluluskan secara bertulis.</t>
        </is>
      </c>
      <c r="C69" s="7" t="inlineStr">
        <is>
          <t>MHMS 5(10) (Semakan HAS)</t>
        </is>
      </c>
      <c r="D69" s="7" t="inlineStr"/>
      <c r="E69" s="7" t="inlineStr"/>
      <c r="F69" t="inlineStr">
        <is>
          <t>B</t>
        </is>
      </c>
    </row>
    <row r="70">
      <c r="A70" s="7" t="inlineStr">
        <is>
          <t>B40</t>
        </is>
      </c>
      <c r="B70" s="7" t="inlineStr">
        <is>
          <t>HAS (jika berkaitan): prosedur analisis makmal bertulis tersedia. Analisis bagi bahan kritikal yang diragui (cth. DNA babi, kandungan alkohol) dibuat apabila perlu di makmal yang ditetapkan, iaitu Malaysia Halal Analysis Centre (MyHAC), Jabatan Kimia Malaysia atau makmal Panel Halal yang dilantik, dan rekodnya disimpan.</t>
        </is>
      </c>
      <c r="C70" s="7" t="inlineStr">
        <is>
          <t>MHMS 5(11) (Analisis Makmal)</t>
        </is>
      </c>
      <c r="D70" s="7" t="inlineStr"/>
      <c r="E70" s="7" t="inlineStr"/>
      <c r="F70" t="inlineStr">
        <is>
          <t>B</t>
        </is>
      </c>
    </row>
    <row r="71">
      <c r="A71" s="7" t="inlineStr">
        <is>
          <t>B41</t>
        </is>
      </c>
      <c r="B71" s="7" t="inlineStr">
        <is>
          <t>Pekerja tahu tindakan yang perlu diambil jika berlaku pencemaran najis mughallazah (sertu). Bagi premis HAS, prosedur sertu bertulis tersedia.</t>
        </is>
      </c>
      <c r="C71" s="7" t="inlineStr">
        <is>
          <t>MHMS 5(12) (Sertu); MS 1500 Lampiran A*</t>
        </is>
      </c>
      <c r="D71" s="7" t="inlineStr"/>
      <c r="E71" s="7" t="inlineStr"/>
      <c r="F71" t="inlineStr">
        <is>
          <t>B</t>
        </is>
      </c>
    </row>
    <row r="72">
      <c r="A72" s="7" t="inlineStr">
        <is>
          <t>B42</t>
        </is>
      </c>
      <c r="B72" s="7" t="inlineStr">
        <is>
          <t>HAS: prosedur penarikan balik makanan atau produk tersedia, dan latihan penarikan (mock recall) dibuat sekurang-kurangnya sekali setahun.</t>
        </is>
      </c>
      <c r="C72" s="7" t="inlineStr">
        <is>
          <t>MHMS 5(9) (Kebolehkesanan)</t>
        </is>
      </c>
      <c r="D72" s="7" t="inlineStr"/>
      <c r="E72" s="7" t="inlineStr"/>
      <c r="F72" t="inlineStr">
        <is>
          <t>B</t>
        </is>
      </c>
    </row>
    <row r="73">
      <c r="A73" s="7" t="inlineStr">
        <is>
          <t>B43</t>
        </is>
      </c>
      <c r="B73" s="7" t="inlineStr">
        <is>
          <t>Setiap perubahan bahan, pembekal, menu atau proses disahkan sebelum dilaksanakan dan dimaklumkan kepada pihak berkuasa melalui MYeHALAL.</t>
        </is>
      </c>
      <c r="C73" s="7" t="inlineStr">
        <is>
          <t>MHMS 5(3), 5(7); MPPHM 17(1)(g)</t>
        </is>
      </c>
      <c r="D73" s="7" t="inlineStr"/>
      <c r="E73" s="7" t="inlineStr"/>
      <c r="F73" t="inlineStr">
        <is>
          <t>B</t>
        </is>
      </c>
    </row>
    <row r="74">
      <c r="A74" s="7" t="inlineStr">
        <is>
          <t>B44</t>
        </is>
      </c>
      <c r="B74" s="7" t="inlineStr">
        <is>
          <t>Rekod (cth. semakan berkala oleh Penyelia atau Eksekutif Halal) menunjukkan pemantauan berterusan terhadap pelaksanaan kawalan halal.</t>
        </is>
      </c>
      <c r="C74" s="7" t="inlineStr">
        <is>
          <t>MPPHM 17(13)(b)</t>
        </is>
      </c>
      <c r="D74" s="7" t="inlineStr"/>
      <c r="E74" s="7" t="inlineStr"/>
      <c r="F74" t="inlineStr">
        <is>
          <t>B</t>
        </is>
      </c>
    </row>
    <row r="75">
      <c r="A75" s="7" t="inlineStr">
        <is>
          <t>B45</t>
        </is>
      </c>
      <c r="B75" s="7" t="inlineStr">
        <is>
          <t>Salinan pekeliling, garis panduan dan fatwa halal terkini yang berkaitan dengan premis makanan disimpan, dan perubahan yang dikehendaki telah dilaksanakan.</t>
        </is>
      </c>
      <c r="C75" s="7" t="inlineStr">
        <is>
          <t>MPPHM 17(16)(b)</t>
        </is>
      </c>
      <c r="D75" s="7" t="inlineStr"/>
      <c r="E75" s="7" t="inlineStr"/>
      <c r="F75" t="inlineStr">
        <is>
          <t>B</t>
        </is>
      </c>
    </row>
    <row r="76">
      <c r="A76" s="4" t="inlineStr">
        <is>
          <t>Bahagian C: Paparan Halal, Menu &amp; Ruang Pelanggan</t>
        </is>
      </c>
      <c r="B76" s="5" t="n"/>
      <c r="C76" s="5" t="n"/>
      <c r="D76" s="5" t="n"/>
      <c r="E76" s="6" t="n"/>
    </row>
    <row r="77" ht="26" customHeight="1">
      <c r="A77" s="2" t="inlineStr">
        <is>
          <t>Sebelum masuk ke dapur, periksa papan tanda, pintu masuk, kaunter, papan menu, menu bercetak dan digital, ruang makan dan peti pameran minuman.</t>
        </is>
      </c>
    </row>
    <row r="78">
      <c r="A78" s="7" t="inlineStr">
        <is>
          <t>C1</t>
        </is>
      </c>
      <c r="B78" s="7" t="inlineStr">
        <is>
          <t>SPHM yang sah dipamerkan di tempat yang mudah dilihat pelanggan di premis yang disijilkan. Nama, alamat dan tempoh sah pada sijil sepadan dengan premis yang diaudit.</t>
        </is>
      </c>
      <c r="C78" s="7" t="inlineStr">
        <is>
          <t>MPPHM 35, 36; MS 1500 kl. 6*</t>
        </is>
      </c>
      <c r="D78" s="7" t="inlineStr"/>
      <c r="E78" s="7" t="inlineStr"/>
      <c r="F78" t="inlineStr">
        <is>
          <t>C</t>
        </is>
      </c>
    </row>
    <row r="79">
      <c r="A79" s="7" t="inlineStr">
        <is>
          <t>C2</t>
        </is>
      </c>
      <c r="B79" s="7" t="inlineStr">
        <is>
          <t>Logo Halal Malaysia (poster atau pelekat logo rasmi) hanya dipamerkan di premis atau outlet yang disijilkan, tanpa diubah bentuk, warna atau perkadarannya.</t>
        </is>
      </c>
      <c r="C79" s="7" t="inlineStr">
        <is>
          <t>MPPHM 41; MS 1500 kl. 7*; Perintah Perakuan &amp; Penandaan Halal 2011 perenggan 4(1), 4(2)</t>
        </is>
      </c>
      <c r="D79" s="7" t="inlineStr"/>
      <c r="E79" s="7" t="inlineStr"/>
      <c r="F79" t="inlineStr">
        <is>
          <t>C</t>
        </is>
      </c>
    </row>
    <row r="80">
      <c r="A80" s="7" t="inlineStr">
        <is>
          <t>C3</t>
        </is>
      </c>
      <c r="B80" s="7" t="inlineStr">
        <is>
          <t>Sijil atau logo halal milik pihak lain (dapur pusat, pembekal, outlet lain) tidak dipamerkan sehingga memberi gambaran bahawa premis ini disijilkan.</t>
        </is>
      </c>
      <c r="C80" s="7" t="inlineStr">
        <is>
          <t>Perintah Perakuan &amp; Penandaan Halal 2011 perenggan 4(1), 4(2); Perintah Takrif Halal 2011 perenggan 4</t>
        </is>
      </c>
      <c r="D80" s="7" t="inlineStr"/>
      <c r="E80" s="7" t="inlineStr"/>
      <c r="F80" t="inlineStr">
        <is>
          <t>C</t>
        </is>
      </c>
    </row>
    <row r="81">
      <c r="A81" s="7" t="inlineStr">
        <is>
          <t>C4</t>
        </is>
      </c>
      <c r="B81" s="7" t="inlineStr">
        <is>
          <t>Tiada tanda halal buatan sendiri atau ungkapan seperti 'Ditanggung Halal', 'Makanan Orang Islam', 'Terjamin Halal' atau ungkapan lain yang membayangkan makanan itu halal tanpa pensijilan.</t>
        </is>
      </c>
      <c r="C81" s="7" t="inlineStr">
        <is>
          <t>APD 2011 s. 28, 29; Perintah Takrif Halal 2011 perenggan 4; Perintah Perakuan &amp; Penandaan Halal 2011 perenggan 3, 4(1), 4(2)</t>
        </is>
      </c>
      <c r="D81" s="7" t="inlineStr"/>
      <c r="E81" s="7" t="inlineStr"/>
      <c r="F81" t="inlineStr">
        <is>
          <t>C</t>
        </is>
      </c>
    </row>
    <row r="82">
      <c r="A82" s="7" t="inlineStr">
        <is>
          <t>C5</t>
        </is>
      </c>
      <c r="B82" s="7" t="inlineStr">
        <is>
          <t>Tiada ayat al-Quran, simbol atau objek keagamaan Islam dipamerkan dengan tujuan menunjukkan bahawa makanan itu halal.</t>
        </is>
      </c>
      <c r="C82" s="7" t="inlineStr">
        <is>
          <t>Perintah Takrif Halal 2011 perenggan 4</t>
        </is>
      </c>
      <c r="D82" s="7" t="inlineStr"/>
      <c r="E82" s="7" t="inlineStr"/>
      <c r="F82" t="inlineStr">
        <is>
          <t>C</t>
        </is>
      </c>
    </row>
    <row r="83">
      <c r="A83" s="7" t="inlineStr">
        <is>
          <t>C6</t>
        </is>
      </c>
      <c r="B83" s="7" t="inlineStr">
        <is>
          <t>Logo halal di aplikasi penghantaran, laman web dan media sosial hanya digunakan bagi outlet dan menu yang disijilkan.</t>
        </is>
      </c>
      <c r="C83" s="7" t="inlineStr">
        <is>
          <t>MPPHM 41; Perintah Perakuan &amp; Penandaan Halal 2011 perenggan 4(1), 4(2)</t>
        </is>
      </c>
      <c r="D83" s="7" t="inlineStr"/>
      <c r="E83" s="7" t="inlineStr"/>
      <c r="F83" t="inlineStr">
        <is>
          <t>C</t>
        </is>
      </c>
    </row>
    <row r="84">
      <c r="A84" s="7" t="inlineStr">
        <is>
          <t>C7</t>
        </is>
      </c>
      <c r="B84" s="7" t="inlineStr">
        <is>
          <t>Nama menu di papan menu, menu bercetak, menu digital dan aplikasi penghantaran sama dengan nama menu dalam MYeHALAL. Tiada menu dipamerkan yang tidak tersenarai dalam MYeHALAL.</t>
        </is>
      </c>
      <c r="C84" s="7" t="inlineStr">
        <is>
          <t>MPPHM 17(2)(c), 18(4)(g)</t>
        </is>
      </c>
      <c r="D84" s="7" t="inlineStr"/>
      <c r="E84" s="7" t="inlineStr"/>
      <c r="F84" t="inlineStr">
        <is>
          <t>C</t>
        </is>
      </c>
    </row>
    <row r="85">
      <c r="A85" s="7" t="inlineStr">
        <is>
          <t>C8</t>
        </is>
      </c>
      <c r="B85" s="7" t="inlineStr">
        <is>
          <t>Nama menu tidak merujuk kepada produk tidak halal dan tidak mengelirukan (cth. bak kut teh, char siew, ham, bacon, beer, rum, hot dog).</t>
        </is>
      </c>
      <c r="C85" s="7" t="inlineStr">
        <is>
          <t>MPPHM 6(7), Lampiran A</t>
        </is>
      </c>
      <c r="D85" s="7" t="inlineStr"/>
      <c r="E85" s="7" t="inlineStr"/>
      <c r="F85" t="inlineStr">
        <is>
          <t>C</t>
        </is>
      </c>
    </row>
    <row r="86">
      <c r="A86" s="7" t="inlineStr">
        <is>
          <t>C9</t>
        </is>
      </c>
      <c r="B86" s="7" t="inlineStr">
        <is>
          <t>Menu atau produk tidak berbentuk atau menyerupai haiwan najis mughallazah, dan tidak mengandungi unsur keagamaan atau implikasi negatif.</t>
        </is>
      </c>
      <c r="C86" s="7" t="inlineStr">
        <is>
          <t>MPPHM 17(2)(a)</t>
        </is>
      </c>
      <c r="D86" s="7" t="inlineStr"/>
      <c r="E86" s="7" t="inlineStr"/>
      <c r="F86" t="inlineStr">
        <is>
          <t>C</t>
        </is>
      </c>
    </row>
    <row r="87">
      <c r="A87" s="7" t="inlineStr">
        <is>
          <t>C10</t>
        </is>
      </c>
      <c r="B87" s="7" t="inlineStr">
        <is>
          <t>Tiada menu atau produk yang dikaitkan dengan khurafat, tahyul atau dakwaan agama yang boleh menyesatkan (cth. 'air penawar', makanan 'pelaris' atau 'tolak bala').</t>
        </is>
      </c>
      <c r="C87" s="7" t="inlineStr">
        <is>
          <t>MPPHM 6(11)</t>
        </is>
      </c>
      <c r="D87" s="7" t="inlineStr"/>
      <c r="E87" s="7" t="inlineStr"/>
      <c r="F87" t="inlineStr">
        <is>
          <t>C</t>
        </is>
      </c>
    </row>
    <row r="88">
      <c r="A88" s="7" t="inlineStr">
        <is>
          <t>C11</t>
        </is>
      </c>
      <c r="B88" s="7" t="inlineStr">
        <is>
          <t>Menu, iklan dan bahan promosi tidak memaparkan gambar haiwan najis mughallazah, istilah keagamaan atau unsur negatif (cth. botol arak).</t>
        </is>
      </c>
      <c r="C88" s="7" t="inlineStr">
        <is>
          <t>MPPHM 17(6)(b), 17(6)(c), 17(6)(d)</t>
        </is>
      </c>
      <c r="D88" s="7" t="inlineStr"/>
      <c r="E88" s="7" t="inlineStr"/>
      <c r="F88" t="inlineStr">
        <is>
          <t>C</t>
        </is>
      </c>
    </row>
    <row r="89">
      <c r="A89" s="7" t="inlineStr">
        <is>
          <t>C12</t>
        </is>
      </c>
      <c r="B89" s="7" t="inlineStr">
        <is>
          <t>Sifat dan bahan makanan yang dihidang sama dengan yang dinyatakan pada menu, dan iklan menu tidak mengelirukan.</t>
        </is>
      </c>
      <c r="C89" s="7" t="inlineStr">
        <is>
          <t>Akta Makanan 1983 s. 14, 17; MPPHM 17(6)(g)</t>
        </is>
      </c>
      <c r="D89" s="7" t="inlineStr"/>
      <c r="E89" s="7" t="inlineStr"/>
      <c r="F89" t="inlineStr">
        <is>
          <t>C</t>
        </is>
      </c>
    </row>
    <row r="90">
      <c r="A90" s="7" t="inlineStr">
        <is>
          <t>C13</t>
        </is>
      </c>
      <c r="B90" s="7" t="inlineStr">
        <is>
          <t>Tiada minuman beralkohol (arak, bir, wain, cider beralkohol) dijual, dihidang atau disimpan di kaunter, peti pameran atau bar minuman premis yang disijilkan (bagi hotel: di restoran dan dapur yang disijilkan).</t>
        </is>
      </c>
      <c r="C90" s="7" t="inlineStr">
        <is>
          <t>MPPHM 6(1), 17(8)(a)</t>
        </is>
      </c>
      <c r="D90" s="7" t="inlineStr"/>
      <c r="E90" s="7" t="inlineStr"/>
      <c r="F90" t="inlineStr">
        <is>
          <t>C</t>
        </is>
      </c>
    </row>
    <row r="91">
      <c r="A91" s="7" t="inlineStr">
        <is>
          <t>C14</t>
        </is>
      </c>
      <c r="B91" s="7" t="inlineStr">
        <is>
          <t>Pelanggan tidak dibenarkan membawa minuman beralkohol (BYOB) atau makanan tidak halal ke premis. Notis dipamerkan dan pekerja tahu tindakan yang perlu diambil.</t>
        </is>
      </c>
      <c r="C91" s="7" t="inlineStr">
        <is>
          <t>MPPHM 17(8)(a)</t>
        </is>
      </c>
      <c r="D91" s="7" t="inlineStr"/>
      <c r="E91" s="7" t="inlineStr"/>
      <c r="F91" t="inlineStr">
        <is>
          <t>C</t>
        </is>
      </c>
    </row>
    <row r="92">
      <c r="A92" s="7" t="inlineStr">
        <is>
          <t>C15</t>
        </is>
      </c>
      <c r="B92" s="7" t="inlineStr">
        <is>
          <t>Makanan luar yang dibawa pelanggan (cth. kek majlis) tidak disimpan di dapur atau peti sejuk premis, dan tidak dihidang dengan perkakas premis, kecuali status halalnya telah disahkan.</t>
        </is>
      </c>
      <c r="C92" s="7" t="inlineStr">
        <is>
          <t>MPPHM 17(3)(b), 17(5)(a)</t>
        </is>
      </c>
      <c r="D92" s="7" t="inlineStr"/>
      <c r="E92" s="7" t="inlineStr"/>
      <c r="F92" t="inlineStr">
        <is>
          <t>C</t>
        </is>
      </c>
    </row>
    <row r="93">
      <c r="A93" s="7" t="inlineStr">
        <is>
          <t>C16</t>
        </is>
      </c>
      <c r="B93" s="7" t="inlineStr">
        <is>
          <t>Sos, kicap, cuka, sambal dan perasa di meja pelanggan atau kaunter layan diri ialah produk yang telah diisytiharkan dan bersijil halal.</t>
        </is>
      </c>
      <c r="C93" s="7" t="inlineStr">
        <is>
          <t>MPPHM 17(1)(a), 17(1)(b), 17(1)(d), 17(1)(g)</t>
        </is>
      </c>
      <c r="D93" s="7" t="inlineStr"/>
      <c r="E93" s="7" t="inlineStr"/>
      <c r="F93" t="inlineStr">
        <is>
          <t>C</t>
        </is>
      </c>
    </row>
    <row r="94">
      <c r="A94" s="7" t="inlineStr">
        <is>
          <t>C17</t>
        </is>
      </c>
      <c r="B94" s="7" t="inlineStr">
        <is>
          <t>Tiada haiwan peliharaan (termasuk anjing) dibenarkan masuk, dan notis larangan haiwan dipamerkan di pintu masuk.</t>
        </is>
      </c>
      <c r="C94" s="7" t="inlineStr">
        <is>
          <t>PKM per. 8(1); MPPHM 17(8)(c)</t>
        </is>
      </c>
      <c r="D94" s="7" t="inlineStr"/>
      <c r="E94" s="7" t="inlineStr"/>
      <c r="F94" t="inlineStr">
        <is>
          <t>C</t>
        </is>
      </c>
    </row>
    <row r="95">
      <c r="A95" s="7" t="inlineStr">
        <is>
          <t>C18</t>
        </is>
      </c>
      <c r="B95" s="7" t="inlineStr">
        <is>
          <t>Tiada perkhidmatan shisha, karaoke atau hiburan yang memberi implikasi negatif di premis.</t>
        </is>
      </c>
      <c r="C95" s="7" t="inlineStr">
        <is>
          <t>MPPHM 6(5)</t>
        </is>
      </c>
      <c r="D95" s="7" t="inlineStr"/>
      <c r="E95" s="7" t="inlineStr"/>
      <c r="F95" t="inlineStr">
        <is>
          <t>C</t>
        </is>
      </c>
    </row>
    <row r="96">
      <c r="A96" s="7" t="inlineStr">
        <is>
          <t>C19</t>
        </is>
      </c>
      <c r="B96" s="7" t="inlineStr">
        <is>
          <t>Hotel: outlet yang tidak disijilkan (cth. bar, lounge) dipisahkan dengan jelas dan tidak memaparkan logo atau sijil halal.</t>
        </is>
      </c>
      <c r="C96" s="7" t="inlineStr">
        <is>
          <t>MPPHM 18(4)(j)(i), 41</t>
        </is>
      </c>
      <c r="D96" s="7" t="inlineStr"/>
      <c r="E96" s="7" t="inlineStr"/>
      <c r="F96" t="inlineStr">
        <is>
          <t>C</t>
        </is>
      </c>
    </row>
    <row r="97">
      <c r="A97" s="4" t="inlineStr">
        <is>
          <t>Bahagian D: Premis, Struktur &amp; Persekitaran</t>
        </is>
      </c>
      <c r="B97" s="5" t="n"/>
      <c r="C97" s="5" t="n"/>
      <c r="D97" s="5" t="n"/>
      <c r="E97" s="6" t="n"/>
    </row>
    <row r="98" ht="26" customHeight="1">
      <c r="A98" s="2" t="inlineStr">
        <is>
          <t>Dengan merujuk pelan lantai, berjalan dari kawasan luar ke dapur, stor, kawasan basuh, kawasan pekerja dan tempat tinggal pekerja (jika ada).</t>
        </is>
      </c>
    </row>
    <row r="99">
      <c r="A99" s="7" t="inlineStr">
        <is>
          <t>D1</t>
        </is>
      </c>
      <c r="B99" s="7" t="inlineStr">
        <is>
          <t>Lokasi premis jauh daripada sumber pencemaran seperti kolam pengudaraan, tangki septik dan tapak pelupusan sampah.</t>
        </is>
      </c>
      <c r="C99" s="7" t="inlineStr">
        <is>
          <t>PKM per. 12</t>
        </is>
      </c>
      <c r="D99" s="7" t="inlineStr"/>
      <c r="E99" s="7" t="inlineStr"/>
      <c r="F99" t="inlineStr">
        <is>
          <t>D</t>
        </is>
      </c>
    </row>
    <row r="100">
      <c r="A100" s="7" t="inlineStr">
        <is>
          <t>D2</t>
        </is>
      </c>
      <c r="B100" s="7" t="inlineStr">
        <is>
          <t>Pencemaran daripada premis, outlet atau gerai bersebelahan yang mengendalikan bahan tidak halal dikawal dengan berkesan, termasuk kemudahan bersama di medan selera atau pusat beli-belah (kawasan basuh pinggan, stor, tong sisa).</t>
        </is>
      </c>
      <c r="C100" s="7" t="inlineStr">
        <is>
          <t>MPPHM 17(8)(b), 18(4)(j)(vi); MS 1500 kl. 4.2*</t>
        </is>
      </c>
      <c r="D100" s="7" t="inlineStr"/>
      <c r="E100" s="7" t="inlineStr"/>
      <c r="F100" t="inlineStr">
        <is>
          <t>D</t>
        </is>
      </c>
    </row>
    <row r="101">
      <c r="A101" s="7" t="inlineStr">
        <is>
          <t>D3</t>
        </is>
      </c>
      <c r="B101" s="7" t="inlineStr">
        <is>
          <t>Dapur tidak dikongsi dengan jenama atau perniagaan lain yang menyediakan menu tidak halal (cth. dapur awan atau dapur sewa bersama untuk platform penghantaran).</t>
        </is>
      </c>
      <c r="C101" s="7" t="inlineStr">
        <is>
          <t>MPPHM 6(2), 6(9), 17(3)(b), 17(8)(a)</t>
        </is>
      </c>
      <c r="D101" s="7" t="inlineStr"/>
      <c r="E101" s="7" t="inlineStr"/>
      <c r="F101" t="inlineStr">
        <is>
          <t>D</t>
        </is>
      </c>
    </row>
    <row r="102">
      <c r="A102" s="7" t="inlineStr">
        <is>
          <t>D4</t>
        </is>
      </c>
      <c r="B102" s="7" t="inlineStr">
        <is>
          <t>Pelan lantai terkini tersedia dan sepadan dengan susun atur sebenar. Aliran kerja mencegah pencemaran silang dan memudahkan pembersihan.</t>
        </is>
      </c>
      <c r="C102" s="7" t="inlineStr">
        <is>
          <t>MPPHM 17(8)(j); PKM per. 13</t>
        </is>
      </c>
      <c r="D102" s="7" t="inlineStr"/>
      <c r="E102" s="7" t="inlineStr"/>
      <c r="F102" t="inlineStr">
        <is>
          <t>D</t>
        </is>
      </c>
    </row>
    <row r="103">
      <c r="A103" s="7" t="inlineStr">
        <is>
          <t>D5</t>
        </is>
      </c>
      <c r="B103" s="7" t="inlineStr">
        <is>
          <t>Hotel: dapur yang disijilkan dipisahkan dengan jelas daripada dapur yang tidak disijilkan (laluan, stor, kawasan basuh pinggan), dengan kawalan halal yang berkesan.</t>
        </is>
      </c>
      <c r="C103" s="7" t="inlineStr">
        <is>
          <t>MPPHM 18(4)(j)(i)</t>
        </is>
      </c>
      <c r="D103" s="7" t="inlineStr"/>
      <c r="E103" s="7" t="inlineStr"/>
      <c r="F103" t="inlineStr">
        <is>
          <t>D</t>
        </is>
      </c>
    </row>
    <row r="104">
      <c r="A104" s="7" t="inlineStr">
        <is>
          <t>D6</t>
        </is>
      </c>
      <c r="B104" s="7" t="inlineStr">
        <is>
          <t>Hotel: dapur di lapangan sepadan dengan senarai dapur yang dipohon, dan setiap dapur dikenal pasti mengikut laluan keluar-masuk khususnya.</t>
        </is>
      </c>
      <c r="C104" s="7" t="inlineStr">
        <is>
          <t>MPPHM 18(4)(j)(i), Lampiran B</t>
        </is>
      </c>
      <c r="D104" s="7" t="inlineStr"/>
      <c r="E104" s="7" t="inlineStr"/>
      <c r="F104" t="inlineStr">
        <is>
          <t>D</t>
        </is>
      </c>
    </row>
    <row r="105">
      <c r="A105" s="7" t="inlineStr">
        <is>
          <t>D7</t>
        </is>
      </c>
      <c r="B105" s="7" t="inlineStr">
        <is>
          <t>Hotel: pergerakan pekerja (tukang masak, steward) dan troli antara dapur yang disijilkan dengan dapur atau outlet yang tidak disijilkan dikawal (cth. laluan khusus, pakaian kerja berasingan, basuh tangan).</t>
        </is>
      </c>
      <c r="C105" s="7" t="inlineStr">
        <is>
          <t>MPPHM 18(4)(j)(i)</t>
        </is>
      </c>
      <c r="D105" s="7" t="inlineStr"/>
      <c r="E105" s="7" t="inlineStr"/>
      <c r="F105" t="inlineStr">
        <is>
          <t>D</t>
        </is>
      </c>
    </row>
    <row r="106">
      <c r="A106" s="7" t="inlineStr">
        <is>
          <t>D8</t>
        </is>
      </c>
      <c r="B106" s="7" t="inlineStr">
        <is>
          <t>Pejabat dan tempat tinggal pekerja (jika disediakan) bebas daripada bahan dan produk tidak halal (cth. arak, daging babi).</t>
        </is>
      </c>
      <c r="C106" s="7" t="inlineStr">
        <is>
          <t>MPPHM 17(8)(a); MS 1500 kl. 4.2*</t>
        </is>
      </c>
      <c r="D106" s="7" t="inlineStr"/>
      <c r="E106" s="7" t="inlineStr"/>
      <c r="F106" t="inlineStr">
        <is>
          <t>D</t>
        </is>
      </c>
    </row>
    <row r="107">
      <c r="A107" s="7" t="inlineStr">
        <is>
          <t>D9</t>
        </is>
      </c>
      <c r="B107" s="7" t="inlineStr">
        <is>
          <t>Premis dikawal daripada kemasukan haiwan, serangga dan perosak (pintu tertutup, tirai, jaring).</t>
        </is>
      </c>
      <c r="C107" s="7" t="inlineStr">
        <is>
          <t>MPPHM 17(8)(c); PKM per. 16(1)</t>
        </is>
      </c>
      <c r="D107" s="7" t="inlineStr"/>
      <c r="E107" s="7" t="inlineStr"/>
      <c r="F107" t="inlineStr">
        <is>
          <t>D</t>
        </is>
      </c>
    </row>
    <row r="108">
      <c r="A108" s="7" t="inlineStr">
        <is>
          <t>D10</t>
        </is>
      </c>
      <c r="B108" s="7" t="inlineStr">
        <is>
          <t>Premis dalam keadaan baik, bersih dan teratur, bebas daripada sampah, kotoran, jelaga, abu dan sawang, tanpa longgokan kotak, tin, botol atau barang yang tidak berkaitan.</t>
        </is>
      </c>
      <c r="C108" s="7" t="inlineStr">
        <is>
          <t>MPPHM 17(8)(d); PKM per. 15(1), 15(2), 34(1)</t>
        </is>
      </c>
      <c r="D108" s="7" t="inlineStr"/>
      <c r="E108" s="7" t="inlineStr"/>
      <c r="F108" t="inlineStr">
        <is>
          <t>D</t>
        </is>
      </c>
    </row>
    <row r="109">
      <c r="A109" s="7" t="inlineStr">
        <is>
          <t>D11</t>
        </is>
      </c>
      <c r="B109" s="7" t="inlineStr">
        <is>
          <t>Lantai diperbuat daripada bahan kalis air, tidak menyerap, boleh dibasuh dan tidak toksik, serta mempunyai saliran yang baik.</t>
        </is>
      </c>
      <c r="C109" s="7" t="inlineStr">
        <is>
          <t>PKM per. 18; MPPHM 17(8)(e)</t>
        </is>
      </c>
      <c r="D109" s="7" t="inlineStr"/>
      <c r="E109" s="7" t="inlineStr"/>
      <c r="F109" t="inlineStr">
        <is>
          <t>D</t>
        </is>
      </c>
    </row>
    <row r="110">
      <c r="A110" s="7" t="inlineStr">
        <is>
          <t>D12</t>
        </is>
      </c>
      <c r="B110" s="7" t="inlineStr">
        <is>
          <t>Dinding licin, kalis air, tidak menyerap dan boleh dibasuh. Sudut antara dinding dan lantai dikedap dan dilengkungkan.</t>
        </is>
      </c>
      <c r="C110" s="7" t="inlineStr">
        <is>
          <t>PKM per. 19; MPPHM 17(8)(e)</t>
        </is>
      </c>
      <c r="D110" s="7" t="inlineStr"/>
      <c r="E110" s="7" t="inlineStr"/>
      <c r="F110" t="inlineStr">
        <is>
          <t>D</t>
        </is>
      </c>
    </row>
    <row r="111">
      <c r="A111" s="7" t="inlineStr">
        <is>
          <t>D13</t>
        </is>
      </c>
      <c r="B111" s="7" t="inlineStr">
        <is>
          <t>Siling tidak mengumpul kotoran dan bebas daripada partikel yang gugur, pemeluwapan serta kulat.</t>
        </is>
      </c>
      <c r="C111" s="7" t="inlineStr">
        <is>
          <t>PKM per. 22; MPPHM 17(8)(e)</t>
        </is>
      </c>
      <c r="D111" s="7" t="inlineStr"/>
      <c r="E111" s="7" t="inlineStr"/>
      <c r="F111" t="inlineStr">
        <is>
          <t>D</t>
        </is>
      </c>
    </row>
    <row r="112">
      <c r="A112" s="7" t="inlineStr">
        <is>
          <t>D14</t>
        </is>
      </c>
      <c r="B112" s="7" t="inlineStr">
        <is>
          <t>Pintu mudah dibersihkan, permukaannya licin dan tidak menyerap, dan boleh tertutup sendiri.</t>
        </is>
      </c>
      <c r="C112" s="7" t="inlineStr">
        <is>
          <t>PKM per. 23; MPPHM 17(8)(e)</t>
        </is>
      </c>
      <c r="D112" s="7" t="inlineStr"/>
      <c r="E112" s="7" t="inlineStr"/>
      <c r="F112" t="inlineStr">
        <is>
          <t>D</t>
        </is>
      </c>
    </row>
    <row r="113">
      <c r="A113" s="7" t="inlineStr">
        <is>
          <t>D15</t>
        </is>
      </c>
      <c r="B113" s="7" t="inlineStr">
        <is>
          <t>Tingkap dan bukaan (termasuk jaring serangga) bersih, dalam keadaan baik dan tidak menjadi laluan masuk perosak.</t>
        </is>
      </c>
      <c r="C113" s="7" t="inlineStr">
        <is>
          <t>MPPHM 17(8)(c), 17(8)(e)</t>
        </is>
      </c>
      <c r="D113" s="7" t="inlineStr"/>
      <c r="E113" s="7" t="inlineStr"/>
      <c r="F113" t="inlineStr">
        <is>
          <t>D</t>
        </is>
      </c>
    </row>
    <row r="114">
      <c r="A114" s="7" t="inlineStr">
        <is>
          <t>D16</t>
        </is>
      </c>
      <c r="B114" s="7" t="inlineStr">
        <is>
          <t>Pencahayaan mencukupi. Lampu di kawasan penyediaan bersih, berfungsi dan bertutup.</t>
        </is>
      </c>
      <c r="C114" s="7" t="inlineStr">
        <is>
          <t>PKM per. 20; MPPHM 17(8)(g), 17(8)(h)</t>
        </is>
      </c>
      <c r="D114" s="7" t="inlineStr"/>
      <c r="E114" s="7" t="inlineStr"/>
      <c r="F114" t="inlineStr">
        <is>
          <t>D</t>
        </is>
      </c>
    </row>
    <row r="115">
      <c r="A115" s="7" t="inlineStr">
        <is>
          <t>D17</t>
        </is>
      </c>
      <c r="B115" s="7" t="inlineStr">
        <is>
          <t>Pengudaraan (hud, ekzos, penapis) mencukupi, dan penapisnya mudah dicapai serta bersih. Udara tidak mengalir dari kawasan kotor ke kawasan bersih, dan kipas serta penghawa dingin bersih.</t>
        </is>
      </c>
      <c r="C115" s="7" t="inlineStr">
        <is>
          <t>PKM per. 21; MPPHM 17(8)(e), 17(8)(g)</t>
        </is>
      </c>
      <c r="D115" s="7" t="inlineStr"/>
      <c r="E115" s="7" t="inlineStr"/>
      <c r="F115" t="inlineStr">
        <is>
          <t>D</t>
        </is>
      </c>
    </row>
    <row r="116">
      <c r="A116" s="7" t="inlineStr">
        <is>
          <t>D18</t>
        </is>
      </c>
      <c r="B116" s="7" t="inlineStr">
        <is>
          <t>Perabot, kelengkapan dan permukaan kerja dalam keadaan baik dan bersih. Yang berada di kawasan penyediaan diperbuat daripada bahan tidak telap yang mudah dibersihkan.</t>
        </is>
      </c>
      <c r="C116" s="7" t="inlineStr">
        <is>
          <t>PKM per. 24</t>
        </is>
      </c>
      <c r="D116" s="7" t="inlineStr"/>
      <c r="E116" s="7" t="inlineStr"/>
      <c r="F116" t="inlineStr">
        <is>
          <t>D</t>
        </is>
      </c>
    </row>
    <row r="117">
      <c r="A117" s="7" t="inlineStr">
        <is>
          <t>D19</t>
        </is>
      </c>
      <c r="B117" s="7" t="inlineStr">
        <is>
          <t>Bekalan air terawat mencukupi, dan tangki serta sistem pengagihannya terlindung daripada pencemaran.</t>
        </is>
      </c>
      <c r="C117" s="7" t="inlineStr">
        <is>
          <t>PKM per. 14</t>
        </is>
      </c>
      <c r="D117" s="7" t="inlineStr"/>
      <c r="E117" s="7" t="inlineStr"/>
      <c r="F117" t="inlineStr">
        <is>
          <t>D</t>
        </is>
      </c>
    </row>
    <row r="118">
      <c r="A118" s="7" t="inlineStr">
        <is>
          <t>D20</t>
        </is>
      </c>
      <c r="B118" s="7" t="inlineStr">
        <is>
          <t>Laporan analisis kualiti air tersedia jika premis menggunakan sumber air bukan bekalan awam (cth. telaga, air bukit).</t>
        </is>
      </c>
      <c r="C118" s="7" t="inlineStr">
        <is>
          <t>MPPHM 17(1)(j)</t>
        </is>
      </c>
      <c r="D118" s="7" t="inlineStr"/>
      <c r="E118" s="7" t="inlineStr"/>
      <c r="F118" t="inlineStr">
        <is>
          <t>D</t>
        </is>
      </c>
    </row>
    <row r="119">
      <c r="A119" s="7" t="inlineStr">
        <is>
          <t>D21</t>
        </is>
      </c>
      <c r="B119" s="7" t="inlineStr">
        <is>
          <t>Saliran mencukupi, licin, bersih, mempunyai perangkap sisa atau minyak, dan disambung ke saluran utama. Air tidak mengalir dari kawasan kotor ke kawasan bersih.</t>
        </is>
      </c>
      <c r="C119" s="7" t="inlineStr">
        <is>
          <t>PKM per. 29; MPPHM 17(8)(l)</t>
        </is>
      </c>
      <c r="D119" s="7" t="inlineStr"/>
      <c r="E119" s="7" t="inlineStr"/>
      <c r="F119" t="inlineStr">
        <is>
          <t>D</t>
        </is>
      </c>
    </row>
    <row r="120">
      <c r="A120" s="7" t="inlineStr">
        <is>
          <t>D22</t>
        </is>
      </c>
      <c r="B120" s="7" t="inlineStr">
        <is>
          <t>Tiada alat atau unsur penyembahan di dapur dan kawasan penyediaan.</t>
        </is>
      </c>
      <c r="C120" s="7" t="inlineStr">
        <is>
          <t>MPPHM 17(15)</t>
        </is>
      </c>
      <c r="D120" s="7" t="inlineStr"/>
      <c r="E120" s="7" t="inlineStr"/>
      <c r="F120" t="inlineStr">
        <is>
          <t>D</t>
        </is>
      </c>
    </row>
    <row r="121">
      <c r="A121" s="7" t="inlineStr">
        <is>
          <t>D23</t>
        </is>
      </c>
      <c r="B121" s="7" t="inlineStr">
        <is>
          <t>Tempat tinggal pekerja di bangunan yang sama mempunyai pintu masuk berasingan, tiada laluan terus ke dapur atau kawasan penyediaan, dan aksesnya dikawal.</t>
        </is>
      </c>
      <c r="C121" s="7" t="inlineStr">
        <is>
          <t>MPPHM 17(8)(k)</t>
        </is>
      </c>
      <c r="D121" s="7" t="inlineStr"/>
      <c r="E121" s="7" t="inlineStr"/>
      <c r="F121" t="inlineStr">
        <is>
          <t>D</t>
        </is>
      </c>
    </row>
    <row r="122">
      <c r="A122" s="7" t="inlineStr">
        <is>
          <t>D24</t>
        </is>
      </c>
      <c r="B122" s="7" t="inlineStr">
        <is>
          <t>Tiada bahagian premis yang dibuka kepada orang awam (cth. ruang makan) digunakan sebagai tempat tidur, dan kelengkapan tidur atau pakaian tidak digantung, disimpan atau dilonggokkan di ruang makan.</t>
        </is>
      </c>
      <c r="C122" s="7" t="inlineStr">
        <is>
          <t>UUK pelesenan PBT (cth. UUK Pelesenan Establisymen Makanan MPT 2017 uuk. 17(c), 40)</t>
        </is>
      </c>
      <c r="D122" s="7" t="inlineStr"/>
      <c r="E122" s="7" t="inlineStr"/>
      <c r="F122" t="inlineStr">
        <is>
          <t>D</t>
        </is>
      </c>
    </row>
    <row r="123">
      <c r="A123" s="7" t="inlineStr">
        <is>
          <t>D25</t>
        </is>
      </c>
      <c r="B123" s="7" t="inlineStr">
        <is>
          <t>Premis yang pernah digunakan untuk menu berasaskan babi atau tercemar najis mughallazah (cth. premis yang diambil alih) telah disertu, dengan rekod, sebelum memulakan operasi.</t>
        </is>
      </c>
      <c r="C123" s="7" t="inlineStr">
        <is>
          <t>MPPHM 17(8)(n); MS 1500 Lampiran A*</t>
        </is>
      </c>
      <c r="D123" s="7" t="inlineStr"/>
      <c r="E123" s="7" t="inlineStr"/>
      <c r="F123" t="inlineStr">
        <is>
          <t>D</t>
        </is>
      </c>
    </row>
    <row r="124">
      <c r="A124" s="4" t="inlineStr">
        <is>
          <t>Bahagian E: Bahan Mentah, Bahan Masakan &amp; Pembekal</t>
        </is>
      </c>
      <c r="B124" s="5" t="n"/>
      <c r="C124" s="5" t="n"/>
      <c r="D124" s="5" t="n"/>
      <c r="E124" s="6" t="n"/>
    </row>
    <row r="125" ht="26" customHeight="1">
      <c r="A125" s="2" t="inlineStr">
        <is>
          <t>Semak senarai induk bahan dan sijil halal pembekal, kemudian padankan dengan bahan sebenar di kawasan penerimaan, stor dan dapur.</t>
        </is>
      </c>
    </row>
    <row r="126">
      <c r="A126" s="7" t="inlineStr">
        <is>
          <t>E1</t>
        </is>
      </c>
      <c r="B126" s="7" t="inlineStr">
        <is>
          <t>Senarai induk bahan mentah (masterlist) lengkap dan terkini: nama bahan, jenama, pengeluar, pembekal, status dan tarikh luput sijil halal, serta dokumen sokongan.</t>
        </is>
      </c>
      <c r="C126" s="7" t="inlineStr">
        <is>
          <t>MHMS 5(7) (Kawalan Bahan Mentah)</t>
        </is>
      </c>
      <c r="D126" s="7" t="inlineStr"/>
      <c r="E126" s="7" t="inlineStr"/>
      <c r="F126" t="inlineStr">
        <is>
          <t>E</t>
        </is>
      </c>
    </row>
    <row r="127">
      <c r="A127" s="7" t="inlineStr">
        <is>
          <t>E2</t>
        </is>
      </c>
      <c r="B127" s="7" t="inlineStr">
        <is>
          <t>Semua bahan diisytiharkan dalam MYeHALAL dengan butiran (jenama, pengeluar) yang sama seperti pada label.</t>
        </is>
      </c>
      <c r="C127" s="7" t="inlineStr">
        <is>
          <t>MPPHM 17(1)(g)</t>
        </is>
      </c>
      <c r="D127" s="7" t="inlineStr"/>
      <c r="E127" s="7" t="inlineStr"/>
      <c r="F127" t="inlineStr">
        <is>
          <t>E</t>
        </is>
      </c>
    </row>
    <row r="128">
      <c r="A128" s="7" t="inlineStr">
        <is>
          <t>E3</t>
        </is>
      </c>
      <c r="B128" s="7" t="inlineStr">
        <is>
          <t>Bahan sebenar di kawasan penerimaan, stor dan dapur sepadan dengan senarai induk dan MYeHALAL, tanpa bahan yang tidak diisytiharkan.</t>
        </is>
      </c>
      <c r="C128" s="7" t="inlineStr">
        <is>
          <t>MPPHM 17(1)(g); MHMS 5(7)</t>
        </is>
      </c>
      <c r="D128" s="7" t="inlineStr"/>
      <c r="E128" s="7" t="inlineStr"/>
      <c r="F128" t="inlineStr">
        <is>
          <t>E</t>
        </is>
      </c>
    </row>
    <row r="129">
      <c r="A129" s="7" t="inlineStr">
        <is>
          <t>E4</t>
        </is>
      </c>
      <c r="B129" s="7" t="inlineStr">
        <is>
          <t>Tiada bahan yang diragui status halalnya (syubhah) digunakan atau disimpan di premis.</t>
        </is>
      </c>
      <c r="C129" s="7" t="inlineStr">
        <is>
          <t>MHMS 5(7) (Kawalan Bahan Mentah); MPPHM 17(3)(b)</t>
        </is>
      </c>
      <c r="D129" s="7" t="inlineStr"/>
      <c r="E129" s="7" t="inlineStr"/>
      <c r="F129" t="inlineStr">
        <is>
          <t>E</t>
        </is>
      </c>
    </row>
    <row r="130">
      <c r="A130" s="7" t="inlineStr">
        <is>
          <t>E5</t>
        </is>
      </c>
      <c r="B130" s="7" t="inlineStr">
        <is>
          <t>Prosedur pembelian dan penerimaan bahan dilaksanakan: logo halal, label, tarikh luput dan keadaan bahan diperiksa semasa diterima, dan rekodnya disimpan.</t>
        </is>
      </c>
      <c r="C130" s="7" t="inlineStr">
        <is>
          <t>MHMS 5(7); MS 1500 kl. 4.5*</t>
        </is>
      </c>
      <c r="D130" s="7" t="inlineStr"/>
      <c r="E130" s="7" t="inlineStr"/>
      <c r="F130" t="inlineStr">
        <is>
          <t>E</t>
        </is>
      </c>
    </row>
    <row r="131">
      <c r="A131" s="7" t="inlineStr">
        <is>
          <t>E6</t>
        </is>
      </c>
      <c r="B131" s="7" t="inlineStr">
        <is>
          <t>Pembekal baharu dinilai (melalui borang soal selidik bahan atau perjanjian pembelian) dan diluluskan sebelum digunakan.</t>
        </is>
      </c>
      <c r="C131" s="7" t="inlineStr">
        <is>
          <t>MHMS 5(3), 5(7)</t>
        </is>
      </c>
      <c r="D131" s="7" t="inlineStr"/>
      <c r="E131" s="7" t="inlineStr"/>
      <c r="F131" t="inlineStr">
        <is>
          <t>E</t>
        </is>
      </c>
    </row>
    <row r="132">
      <c r="A132" s="7" t="inlineStr">
        <is>
          <t>E7</t>
        </is>
      </c>
      <c r="B132" s="7" t="inlineStr">
        <is>
          <t>Rangkaian dan kiosk: outlet hanya menggunakan bahan atau makanan daripada dapur pusat atau pembekal yang diluluskan dalam senarai induk. Tiada pembelian tempatan di luar senarai tanpa kelulusan.</t>
        </is>
      </c>
      <c r="C132" s="7" t="inlineStr">
        <is>
          <t>MHMS 5(7), 6; MPPHM 18(4)(e), 18(4)(j)(vii)</t>
        </is>
      </c>
      <c r="D132" s="7" t="inlineStr"/>
      <c r="E132" s="7" t="inlineStr"/>
      <c r="F132" t="inlineStr">
        <is>
          <t>E</t>
        </is>
      </c>
    </row>
    <row r="133">
      <c r="A133" s="7" t="inlineStr">
        <is>
          <t>E8</t>
        </is>
      </c>
      <c r="B133" s="7" t="inlineStr">
        <is>
          <t>Daging, ayam, itik dan produk daging proses (sosej, burger, nuget, bebola) mempunyai sijil halal yang sah daripada JAKIM/JAIN/MAIN atau daripada badan pensijilan halal luar negara yang diiktiraf JAKIM.</t>
        </is>
      </c>
      <c r="C133" s="7" t="inlineStr">
        <is>
          <t>MPPHM 17(1)(b)</t>
        </is>
      </c>
      <c r="D133" s="7" t="inlineStr"/>
      <c r="E133" s="7" t="inlineStr"/>
      <c r="F133" t="inlineStr">
        <is>
          <t>E</t>
        </is>
      </c>
    </row>
    <row r="134">
      <c r="A134" s="7" t="inlineStr">
        <is>
          <t>E9</t>
        </is>
      </c>
      <c r="B134" s="7" t="inlineStr">
        <is>
          <t>Daging dan bahan haiwan import berasal dari loji sembelihan atau pemprosesan yang diluluskan JPV.</t>
        </is>
      </c>
      <c r="C134" s="7" t="inlineStr">
        <is>
          <t>MPPHM 17(1)(c)</t>
        </is>
      </c>
      <c r="D134" s="7" t="inlineStr"/>
      <c r="E134" s="7" t="inlineStr"/>
      <c r="F134" t="inlineStr">
        <is>
          <t>E</t>
        </is>
      </c>
    </row>
    <row r="135">
      <c r="A135" s="7" t="inlineStr">
        <is>
          <t>E10</t>
        </is>
      </c>
      <c r="B135" s="7" t="inlineStr">
        <is>
          <t>Bagi bahan import yang bergantung pada sijil halal luar negara, badan pensijilannya diiktiraf JAKIM dan namanya tertera pada label.</t>
        </is>
      </c>
      <c r="C135" s="7" t="inlineStr">
        <is>
          <t>Perintah Perakuan &amp; Penandaan Halal 2011 perenggan 5</t>
        </is>
      </c>
      <c r="D135" s="7" t="inlineStr"/>
      <c r="E135" s="7" t="inlineStr"/>
      <c r="F135" t="inlineStr">
        <is>
          <t>E</t>
        </is>
      </c>
    </row>
    <row r="136">
      <c r="A136" s="7" t="inlineStr">
        <is>
          <t>E11</t>
        </is>
      </c>
      <c r="B136" s="7" t="inlineStr">
        <is>
          <t>Daging atau ayam yang dipotong, diperap, dikisar atau dibungkus semula oleh pihak ketiga mempunyai sijil halal yang sah.</t>
        </is>
      </c>
      <c r="C136" s="7" t="inlineStr">
        <is>
          <t>MPPHM 17(1)(f)</t>
        </is>
      </c>
      <c r="D136" s="7" t="inlineStr"/>
      <c r="E136" s="7" t="inlineStr"/>
      <c r="F136" t="inlineStr">
        <is>
          <t>E</t>
        </is>
      </c>
    </row>
    <row r="137">
      <c r="A137" s="7" t="inlineStr">
        <is>
          <t>E12</t>
        </is>
      </c>
      <c r="B137" s="7" t="inlineStr">
        <is>
          <t>Bahan tanpa sijil halal mempunyai dokumen sokongan yang lengkap (komposisi, carta alir, sumber), dan pengeluar asalnya dapat dikenal pasti.</t>
        </is>
      </c>
      <c r="C137" s="7" t="inlineStr">
        <is>
          <t>MPPHM 17(1)(d), 17(1)(e)</t>
        </is>
      </c>
      <c r="D137" s="7" t="inlineStr"/>
      <c r="E137" s="7" t="inlineStr"/>
      <c r="F137" t="inlineStr">
        <is>
          <t>E</t>
        </is>
      </c>
    </row>
    <row r="138">
      <c r="A138" s="7" t="inlineStr">
        <is>
          <t>E13</t>
        </is>
      </c>
      <c r="B138" s="7" t="inlineStr">
        <is>
          <t>Semua bahan berlabel dengan nama dan alamat pengeluar, tanpa sebarang bahan yang tidak berlabel.</t>
        </is>
      </c>
      <c r="C138" s="7" t="inlineStr">
        <is>
          <t>MPPHM 17(1)(h)</t>
        </is>
      </c>
      <c r="D138" s="7" t="inlineStr"/>
      <c r="E138" s="7" t="inlineStr"/>
      <c r="F138" t="inlineStr">
        <is>
          <t>E</t>
        </is>
      </c>
    </row>
    <row r="139">
      <c r="A139" s="7" t="inlineStr">
        <is>
          <t>E14</t>
        </is>
      </c>
      <c r="B139" s="7" t="inlineStr">
        <is>
          <t>Sos, kicap, stok, pes, perapan, sirap perisa dan condiment (cth. sos tiram, sos teriyaki, gochujang, sirap kopi) mempunyai sijil halal yang diiktiraf.</t>
        </is>
      </c>
      <c r="C139" s="7" t="inlineStr">
        <is>
          <t>MPPHM 17(1)(b), 17(1)(d); MS 1500 kl. 4.5*</t>
        </is>
      </c>
      <c r="D139" s="7" t="inlineStr"/>
      <c r="E139" s="7" t="inlineStr"/>
      <c r="F139" t="inlineStr">
        <is>
          <t>E</t>
        </is>
      </c>
    </row>
    <row r="140">
      <c r="A140" s="7" t="inlineStr">
        <is>
          <t>E15</t>
        </is>
      </c>
      <c r="B140" s="7" t="inlineStr">
        <is>
          <t>Tiada arak atau bahan masakan berasaskan arak di premis (bagi hotel: di dapur, stor dan restoran yang disijilkan): mirin, sake, wain masakan (shaoxing/hua tiao), wain, rum, brandi, bir, atau perisa yang dihasilkan daripada minuman keras (cth. perisa rum).</t>
        </is>
      </c>
      <c r="C140" s="7" t="inlineStr">
        <is>
          <t>MPPHM 6(1), 17(1)(a), 17(8)(a); Perintah Takrif Halal 2011 perenggan 3(1); MS 1500 kl. 4.5*</t>
        </is>
      </c>
      <c r="D140" s="7" t="inlineStr"/>
      <c r="E140" s="7" t="inlineStr"/>
      <c r="F140" t="inlineStr">
        <is>
          <t>E</t>
        </is>
      </c>
    </row>
    <row r="141">
      <c r="A141" s="7" t="inlineStr">
        <is>
          <t>E16</t>
        </is>
      </c>
      <c r="B141" s="7" t="inlineStr">
        <is>
          <t>Perisa, esen dan ekstrak yang mengandungi alkohol (cth. esen vanila) disahkan bersijil halal, dan alkoholnya bukan daripada industri arak.</t>
        </is>
      </c>
      <c r="C141" s="7" t="inlineStr">
        <is>
          <t>MS 1500 kl. 4.5*; MPPHM 17(16)(b)</t>
        </is>
      </c>
      <c r="D141" s="7" t="inlineStr"/>
      <c r="E141" s="7" t="inlineStr"/>
      <c r="F141" t="inlineStr">
        <is>
          <t>E</t>
        </is>
      </c>
    </row>
    <row r="142">
      <c r="A142" s="7" t="inlineStr">
        <is>
          <t>E17</t>
        </is>
      </c>
      <c r="B142" s="7" t="inlineStr">
        <is>
          <t>Bahan kritikal bakeri dan pencuci mulut (gelatin, lemak, shortening, enzim, pengemulsi, krim, keju) bersijil halal, dan sumber haiwannya dikenal pasti.</t>
        </is>
      </c>
      <c r="C142" s="7" t="inlineStr">
        <is>
          <t>MPPHM 17(1)(b); MS 1500 kl. 4.5*</t>
        </is>
      </c>
      <c r="D142" s="7" t="inlineStr"/>
      <c r="E142" s="7" t="inlineStr"/>
      <c r="F142" t="inlineStr">
        <is>
          <t>E</t>
        </is>
      </c>
    </row>
    <row r="143">
      <c r="A143" s="7" t="inlineStr">
        <is>
          <t>E18</t>
        </is>
      </c>
      <c r="B143" s="7" t="inlineStr">
        <is>
          <t>Tiada menu daripada haiwan yang tidak halal menurut Hukum Syarak dan fatwa (cth. katak, kura-kura atau penyu, buaya, haiwan bertaring atau pemangsa).</t>
        </is>
      </c>
      <c r="C143" s="7" t="inlineStr">
        <is>
          <t>MS 1500 kl. 4.5*; Perintah Takrif Halal 2011 perenggan 3(1)</t>
        </is>
      </c>
      <c r="D143" s="7" t="inlineStr"/>
      <c r="E143" s="7" t="inlineStr"/>
      <c r="F143" t="inlineStr">
        <is>
          <t>E</t>
        </is>
      </c>
    </row>
    <row r="144">
      <c r="A144" s="7" t="inlineStr">
        <is>
          <t>E19</t>
        </is>
      </c>
      <c r="B144" s="7" t="inlineStr">
        <is>
          <t>Kek, roti, pastri, pencuci mulut, minuman dan makanan siap yang dibeli dari luar hanya diperoleh daripada pemegang SPHM, dan salinan sijilnya disimpan.</t>
        </is>
      </c>
      <c r="C144" s="7" t="inlineStr">
        <is>
          <t>MPPHM 5(9), 17(1)(f), 18(4)(j)(ii)</t>
        </is>
      </c>
      <c r="D144" s="7" t="inlineStr"/>
      <c r="E144" s="7" t="inlineStr"/>
      <c r="F144" t="inlineStr">
        <is>
          <t>E</t>
        </is>
      </c>
    </row>
    <row r="145">
      <c r="A145" s="7" t="inlineStr">
        <is>
          <t>E20</t>
        </is>
      </c>
      <c r="B145" s="7" t="inlineStr">
        <is>
          <t>Produk dagangan yang dijual semula di premis (minuman botol atau tin, snek, aiskrim, sos) halal, bersijil dan telah diisytiharkan.</t>
        </is>
      </c>
      <c r="C145" s="7" t="inlineStr">
        <is>
          <t>MPPHM 5(9), 17(1)(g)</t>
        </is>
      </c>
      <c r="D145" s="7" t="inlineStr"/>
      <c r="E145" s="7" t="inlineStr"/>
      <c r="F145" t="inlineStr">
        <is>
          <t>E</t>
        </is>
      </c>
    </row>
    <row r="146">
      <c r="A146" s="7" t="inlineStr">
        <is>
          <t>E21</t>
        </is>
      </c>
      <c r="B146" s="7" t="inlineStr">
        <is>
          <t>Makanan atau bahan yang dibungkus semula oleh premis (jika ada, cth. biskut atau kuih pukal dibungkus kecil untuk dijual di kaunter) mempunyai sijil halal sah daripada pengeluar asal dan dokumen sumber yang jelas.</t>
        </is>
      </c>
      <c r="C146" s="7" t="inlineStr">
        <is>
          <t>MPPHM 5(11)</t>
        </is>
      </c>
      <c r="D146" s="7" t="inlineStr"/>
      <c r="E146" s="7" t="inlineStr"/>
      <c r="F146" t="inlineStr">
        <is>
          <t>E</t>
        </is>
      </c>
    </row>
    <row r="147">
      <c r="A147" s="7" t="inlineStr">
        <is>
          <t>E22</t>
        </is>
      </c>
      <c r="B147" s="7" t="inlineStr">
        <is>
          <t>Bahan mentah bebas daripada parasit, mikroorganisma patogen, toksin dan bahan asing. Bahan yang rosak atau tidak layak dimakan ditolak.</t>
        </is>
      </c>
      <c r="C147" s="7" t="inlineStr">
        <is>
          <t>PKM per. 36(1); Akta Makanan 1983 s. 13, 13A</t>
        </is>
      </c>
      <c r="D147" s="7" t="inlineStr"/>
      <c r="E147" s="7" t="inlineStr"/>
      <c r="F147" t="inlineStr">
        <is>
          <t>E</t>
        </is>
      </c>
    </row>
    <row r="148">
      <c r="A148" s="7" t="inlineStr">
        <is>
          <t>E23</t>
        </is>
      </c>
      <c r="B148" s="7" t="inlineStr">
        <is>
          <t>Bahan atau produk dalam bungkusan atau tin yang rosak (kemik atau herot sehingga menjejaskan keutuhan bekas, berlubang, berkarat atau bocor) tidak digunakan dalam penyediaan dan tidak dijual.</t>
        </is>
      </c>
      <c r="C148" s="7" t="inlineStr">
        <is>
          <t>PM 1985 per. 35</t>
        </is>
      </c>
      <c r="D148" s="7" t="inlineStr"/>
      <c r="E148" s="7" t="inlineStr"/>
      <c r="F148" t="inlineStr">
        <is>
          <t>E</t>
        </is>
      </c>
    </row>
    <row r="149">
      <c r="A149" s="7" t="inlineStr">
        <is>
          <t>E24</t>
        </is>
      </c>
      <c r="B149" s="7" t="inlineStr">
        <is>
          <t>Hanya bahan tambah makanan yang dibenarkan (pewarna, pengawet, perisa) digunakan, dan dalam had yang ditetapkan.</t>
        </is>
      </c>
      <c r="C149" s="7" t="inlineStr">
        <is>
          <t>PM 1985 per. 19-25</t>
        </is>
      </c>
      <c r="D149" s="7" t="inlineStr"/>
      <c r="E149" s="7" t="inlineStr"/>
      <c r="F149" t="inlineStr">
        <is>
          <t>E</t>
        </is>
      </c>
    </row>
    <row r="150">
      <c r="A150" s="4" t="inlineStr">
        <is>
          <t>Bahagian F: Penyimpanan</t>
        </is>
      </c>
      <c r="B150" s="5" t="n"/>
      <c r="C150" s="5" t="n"/>
      <c r="D150" s="5" t="n"/>
      <c r="E150" s="6" t="n"/>
    </row>
    <row r="151" ht="26" customHeight="1">
      <c r="A151" s="2" t="inlineStr">
        <is>
          <t>Periksa stor kering, peti sejuk, bilik sejuk, peti beku, kaunter pameran bahan mentah dan stor pihak ketiga (jika ada).</t>
        </is>
      </c>
    </row>
    <row r="152">
      <c r="A152" s="7" t="inlineStr">
        <is>
          <t>F1</t>
        </is>
      </c>
      <c r="B152" s="7" t="inlineStr">
        <is>
          <t>Stor dan peti sejuk atau beku hanya menyimpan bahan dan produk halal, termasuk produk dagangan, tanpa sebarang makanan asal babi atau arak.</t>
        </is>
      </c>
      <c r="C152" s="7" t="inlineStr">
        <is>
          <t>MPPHM 17(4)(a); PKM per. 38(1); MS 1500 kl. 4.6*</t>
        </is>
      </c>
      <c r="D152" s="7" t="inlineStr"/>
      <c r="E152" s="7" t="inlineStr"/>
      <c r="F152" t="inlineStr">
        <is>
          <t>F</t>
        </is>
      </c>
    </row>
    <row r="153">
      <c r="A153" s="7" t="inlineStr">
        <is>
          <t>F2</t>
        </is>
      </c>
      <c r="B153" s="7" t="inlineStr">
        <is>
          <t>Stor yang mencukupi dan berasingan disediakan bagi bahan mentah dan bagi makanan yang telah diproses atau dimasak, termasuk peti sejuk atau beku yang berasingan.</t>
        </is>
      </c>
      <c r="C153" s="7" t="inlineStr">
        <is>
          <t>PKM per. 25(1), 25(2), 25(4), 38(1)</t>
        </is>
      </c>
      <c r="D153" s="7" t="inlineStr"/>
      <c r="E153" s="7" t="inlineStr"/>
      <c r="F153" t="inlineStr">
        <is>
          <t>F</t>
        </is>
      </c>
    </row>
    <row r="154">
      <c r="A154" s="7" t="inlineStr">
        <is>
          <t>F3</t>
        </is>
      </c>
      <c r="B154" s="7" t="inlineStr">
        <is>
          <t>Bahan mentah, makanan siap, bahan atau produk yang ditolak, peralatan dan bahan kimia diasingkan dan dilabel, dan barang yang tidak berkaitan tidak disimpan bersama.</t>
        </is>
      </c>
      <c r="C154" s="7" t="inlineStr">
        <is>
          <t>MPPHM 17(4)(b), 17(4)(c)</t>
        </is>
      </c>
      <c r="D154" s="7" t="inlineStr"/>
      <c r="E154" s="7" t="inlineStr"/>
      <c r="F154" t="inlineStr">
        <is>
          <t>F</t>
        </is>
      </c>
    </row>
    <row r="155">
      <c r="A155" s="7" t="inlineStr">
        <is>
          <t>F4</t>
        </is>
      </c>
      <c r="B155" s="7" t="inlineStr">
        <is>
          <t>Bahan pencuci, disinfektan dan racun perosak disimpan berasingan daripada makanan, berlabel dan terkawal.</t>
        </is>
      </c>
      <c r="C155" s="7" t="inlineStr">
        <is>
          <t>MPPHM 17(3)(g); PKM per. 15(6), 38(1)</t>
        </is>
      </c>
      <c r="D155" s="7" t="inlineStr"/>
      <c r="E155" s="7" t="inlineStr"/>
      <c r="F155" t="inlineStr">
        <is>
          <t>F</t>
        </is>
      </c>
    </row>
    <row r="156">
      <c r="A156" s="7" t="inlineStr">
        <is>
          <t>F5</t>
        </is>
      </c>
      <c r="B156" s="7" t="inlineStr">
        <is>
          <t>Makanan disimpan di atas rak atau palet, sekurang-kurangnya 15 cm dari dinding dan 20 cm dari lantai.</t>
        </is>
      </c>
      <c r="C156" s="7" t="inlineStr">
        <is>
          <t>PKM per. 38(1); MPPHM 17(4)(g), 17(8)(f)</t>
        </is>
      </c>
      <c r="D156" s="7" t="inlineStr"/>
      <c r="E156" s="7" t="inlineStr"/>
      <c r="F156" t="inlineStr">
        <is>
          <t>F</t>
        </is>
      </c>
    </row>
    <row r="157">
      <c r="A157" s="7" t="inlineStr">
        <is>
          <t>F6</t>
        </is>
      </c>
      <c r="B157" s="7" t="inlineStr">
        <is>
          <t>Makanan berisiko tinggi disimpan dalam bekas tertutup, bahan mentah dilabel, dan prinsip masuk dahulu keluar dahulu (FIFO) diamalkan.</t>
        </is>
      </c>
      <c r="C157" s="7" t="inlineStr">
        <is>
          <t>PKM per. 38(1)</t>
        </is>
      </c>
      <c r="D157" s="7" t="inlineStr"/>
      <c r="E157" s="7" t="inlineStr"/>
      <c r="F157" t="inlineStr">
        <is>
          <t>F</t>
        </is>
      </c>
    </row>
    <row r="158">
      <c r="A158" s="7" t="inlineStr">
        <is>
          <t>F7</t>
        </is>
      </c>
      <c r="B158" s="7" t="inlineStr">
        <is>
          <t>Bahan disimpan mengikut sifatnya, dan stor bersih, teratur, mudah dibersihkan serta bebas perosak.</t>
        </is>
      </c>
      <c r="C158" s="7" t="inlineStr">
        <is>
          <t>MPPHM 17(4)(d), 17(4)(e); PKM per. 38(1)</t>
        </is>
      </c>
      <c r="D158" s="7" t="inlineStr"/>
      <c r="E158" s="7" t="inlineStr"/>
      <c r="F158" t="inlineStr">
        <is>
          <t>F</t>
        </is>
      </c>
    </row>
    <row r="159">
      <c r="A159" s="7" t="inlineStr">
        <is>
          <t>F8</t>
        </is>
      </c>
      <c r="B159" s="7" t="inlineStr">
        <is>
          <t>Prosedur penyimpanan, rekod stok dan penandaan yang jelas (cth. tarikh terima atau buka) tersedia.</t>
        </is>
      </c>
      <c r="C159" s="7" t="inlineStr">
        <is>
          <t>MPPHM 17(4)(f)</t>
        </is>
      </c>
      <c r="D159" s="7" t="inlineStr"/>
      <c r="E159" s="7" t="inlineStr"/>
      <c r="F159" t="inlineStr">
        <is>
          <t>F</t>
        </is>
      </c>
    </row>
    <row r="160">
      <c r="A160" s="7" t="inlineStr">
        <is>
          <t>F9</t>
        </is>
      </c>
      <c r="B160" s="7" t="inlineStr">
        <is>
          <t>Makanan sejuk (termasuk daging dan ayam) disimpan pada -1°C hingga 10°C dan makanan beku pada -18°C atau lebih rendah, tanpa gangguan rantaian sejuk.</t>
        </is>
      </c>
      <c r="C160" s="7" t="inlineStr">
        <is>
          <t>PKM per. 38(3), 38(4)</t>
        </is>
      </c>
      <c r="D160" s="7" t="inlineStr"/>
      <c r="E160" s="7" t="inlineStr"/>
      <c r="F160" t="inlineStr">
        <is>
          <t>F</t>
        </is>
      </c>
    </row>
    <row r="161">
      <c r="A161" s="7" t="inlineStr">
        <is>
          <t>F10</t>
        </is>
      </c>
      <c r="B161" s="7" t="inlineStr">
        <is>
          <t>Peti sejuk atau beku tidak diisi melebihi kapasiti dan dinyahbeku secara berkala. Bahagian dalamnya licin dan tidak toksik, dengan alat pengukur suhu yang tepat dalam ±1°C, dan pintu bilik sejuk dipasang tirai udara.</t>
        </is>
      </c>
      <c r="C161" s="7" t="inlineStr">
        <is>
          <t>PKM per. 25(4), 25(5), 38(2)</t>
        </is>
      </c>
      <c r="D161" s="7" t="inlineStr"/>
      <c r="E161" s="7" t="inlineStr"/>
      <c r="F161" t="inlineStr">
        <is>
          <t>F</t>
        </is>
      </c>
    </row>
    <row r="162">
      <c r="A162" s="7" t="inlineStr">
        <is>
          <t>F11</t>
        </is>
      </c>
      <c r="B162" s="7" t="inlineStr">
        <is>
          <t>Ikan (jika dikendalikan): ikan segar atau yang dinyahbeku disimpan pada suhu hampir ais cair, ikan beku di bawah -18°C, dan ikan atau makanan laut hidup (cth. dalam akuarium) disimpan pada suhu dan dengan cara yang tidak menjejaskan keselamatan makanan.</t>
        </is>
      </c>
      <c r="C162" s="7" t="inlineStr">
        <is>
          <t>PKM per. 43(1)(a), 45(1)</t>
        </is>
      </c>
      <c r="D162" s="7" t="inlineStr"/>
      <c r="E162" s="7" t="inlineStr"/>
      <c r="F162" t="inlineStr">
        <is>
          <t>F</t>
        </is>
      </c>
    </row>
    <row r="163">
      <c r="A163" s="7" t="inlineStr">
        <is>
          <t>F12</t>
        </is>
      </c>
      <c r="B163" s="7" t="inlineStr">
        <is>
          <t>Daging atau ikan yang dipamerkan untuk dipilih atau dibeli pelanggan (jika ada, cth. kaunter makanan laut atau daging mentah): daging dipamerkan dalam unit penyejuk atau kemudahan bertebat pada 10°C atau kurang, dan ikan sejuk dipamerkan pada -1°C hingga 10°C.</t>
        </is>
      </c>
      <c r="C163" s="7" t="inlineStr">
        <is>
          <t>PKM per. 41(1)(b), 47(1)</t>
        </is>
      </c>
      <c r="D163" s="7" t="inlineStr"/>
      <c r="E163" s="7" t="inlineStr"/>
      <c r="F163" t="inlineStr">
        <is>
          <t>F</t>
        </is>
      </c>
    </row>
    <row r="164">
      <c r="A164" s="7" t="inlineStr">
        <is>
          <t>F13</t>
        </is>
      </c>
      <c r="B164" s="7" t="inlineStr">
        <is>
          <t>Aiskrim atau konfeksi beku (jika dijual): disimpan dan dipamerkan di bawah -18°C, dan tidak dijual jika telah cair atau dibekukan semula.</t>
        </is>
      </c>
      <c r="C164" s="7" t="inlineStr">
        <is>
          <t>PKM per. 49(1)</t>
        </is>
      </c>
      <c r="D164" s="7" t="inlineStr"/>
      <c r="E164" s="7" t="inlineStr"/>
      <c r="F164" t="inlineStr">
        <is>
          <t>F</t>
        </is>
      </c>
    </row>
    <row r="165">
      <c r="A165" s="7" t="inlineStr">
        <is>
          <t>F14</t>
        </is>
      </c>
      <c r="B165" s="7" t="inlineStr">
        <is>
          <t>Susu (jika dijual): susu mentah disimpan di bawah 4°C, dan susu berbungkus dijual dalam bekas asal dengan meterai yang tidak diusik.</t>
        </is>
      </c>
      <c r="C165" s="7" t="inlineStr">
        <is>
          <t>PKM per. 51</t>
        </is>
      </c>
      <c r="D165" s="7" t="inlineStr"/>
      <c r="E165" s="7" t="inlineStr"/>
      <c r="F165" t="inlineStr">
        <is>
          <t>F</t>
        </is>
      </c>
    </row>
    <row r="166">
      <c r="A166" s="7" t="inlineStr">
        <is>
          <t>F15</t>
        </is>
      </c>
      <c r="B166" s="7" t="inlineStr">
        <is>
          <t>Ais untuk minuman disimpan dalam bekas yang bersih, bertebat dan bertutup.</t>
        </is>
      </c>
      <c r="C166" s="7" t="inlineStr">
        <is>
          <t>PKM per. 52(1)</t>
        </is>
      </c>
      <c r="D166" s="7" t="inlineStr"/>
      <c r="E166" s="7" t="inlineStr"/>
      <c r="F166" t="inlineStr">
        <is>
          <t>F</t>
        </is>
      </c>
    </row>
    <row r="167">
      <c r="A167" s="7" t="inlineStr">
        <is>
          <t>F16</t>
        </is>
      </c>
      <c r="B167" s="7" t="inlineStr">
        <is>
          <t>Stor pihak ketiga (jika digunakan): kontrak atau perjanjian bertulis tersedia, dan keutamaan diberi kepada penyedia yang memegang SPHM.</t>
        </is>
      </c>
      <c r="C167" s="7" t="inlineStr">
        <is>
          <t>MPPHM 17(4)(h)</t>
        </is>
      </c>
      <c r="D167" s="7" t="inlineStr"/>
      <c r="E167" s="7" t="inlineStr"/>
      <c r="F167" t="inlineStr">
        <is>
          <t>F</t>
        </is>
      </c>
    </row>
    <row r="168">
      <c r="A168" s="7" t="inlineStr">
        <is>
          <t>F17</t>
        </is>
      </c>
      <c r="B168" s="7" t="inlineStr">
        <is>
          <t>Stor atau peti sejuk yang tercemar najis mughallazah telah disertu, dengan rekod.</t>
        </is>
      </c>
      <c r="C168" s="7" t="inlineStr">
        <is>
          <t>MPPHM 17(4)(j); MS 1500 Lampiran A*</t>
        </is>
      </c>
      <c r="D168" s="7" t="inlineStr"/>
      <c r="E168" s="7" t="inlineStr"/>
      <c r="F168" t="inlineStr">
        <is>
          <t>F</t>
        </is>
      </c>
    </row>
    <row r="169">
      <c r="A169" s="4" t="inlineStr">
        <is>
          <t>Bahagian G: Penyediaan, Masakan &amp; Hidangan</t>
        </is>
      </c>
      <c r="B169" s="5" t="n"/>
      <c r="C169" s="5" t="n"/>
      <c r="D169" s="5" t="n"/>
      <c r="E169" s="6" t="n"/>
    </row>
    <row r="170" ht="26" customHeight="1">
      <c r="A170" s="2" t="inlineStr">
        <is>
          <t>Semasa operasi, perhatikan penyediaan, masakan dan hidangan, termasuk di dapur terbuka, kaunter bufet, kaunter minuman dan mesin layan diri.</t>
        </is>
      </c>
    </row>
    <row r="171">
      <c r="A171" s="7" t="inlineStr">
        <is>
          <t>G1</t>
        </is>
      </c>
      <c r="B171" s="7" t="inlineStr">
        <is>
          <t>Semua makanan dan minuman yang dihidang atau dijual disediakan di dapur premis yang disijilkan atau diperoleh daripada dapur yang memegang SPHM.</t>
        </is>
      </c>
      <c r="C171" s="7" t="inlineStr">
        <is>
          <t>MPPHM 18(4)(j)(ii), 18(4)(j)(iv)-(vii)</t>
        </is>
      </c>
      <c r="D171" s="7" t="inlineStr"/>
      <c r="E171" s="7" t="inlineStr"/>
      <c r="F171" t="inlineStr">
        <is>
          <t>G</t>
        </is>
      </c>
    </row>
    <row r="172">
      <c r="A172" s="7" t="inlineStr">
        <is>
          <t>G2</t>
        </is>
      </c>
      <c r="B172" s="7" t="inlineStr">
        <is>
          <t>Penyediaan makanan memenuhi Hukum Syarak, dan kawasan penyediaan bebas daripada bahan atau produk tidak halal.</t>
        </is>
      </c>
      <c r="C172" s="7" t="inlineStr">
        <is>
          <t>MPPHM 17(3)(a), 17(3)(b); MS 1500 kl. 4.5*</t>
        </is>
      </c>
      <c r="D172" s="7" t="inlineStr"/>
      <c r="E172" s="7" t="inlineStr"/>
      <c r="F172" t="inlineStr">
        <is>
          <t>G</t>
        </is>
      </c>
    </row>
    <row r="173">
      <c r="A173" s="7" t="inlineStr">
        <is>
          <t>G3</t>
        </is>
      </c>
      <c r="B173" s="7" t="inlineStr">
        <is>
          <t>Kad resipi atau resipi standard setiap menu sepadan dengan bahan yang diisytiharkan, dan tiada resipi menggunakan arak atau bahan berasaskan arak (cth. tiramisu atau kek rum, flambé, sos wain).</t>
        </is>
      </c>
      <c r="C173" s="7" t="inlineStr">
        <is>
          <t>MPPHM 17(2)(d), 17(1)(g)</t>
        </is>
      </c>
      <c r="D173" s="7" t="inlineStr"/>
      <c r="E173" s="7" t="inlineStr"/>
      <c r="F173" t="inlineStr">
        <is>
          <t>G</t>
        </is>
      </c>
    </row>
    <row r="174">
      <c r="A174" s="7" t="inlineStr">
        <is>
          <t>G4</t>
        </is>
      </c>
      <c r="B174" s="7" t="inlineStr">
        <is>
          <t>Tiada makanan asal babi disediakan, dibungkus atau dihidang, dan tiada perkakas yang pernah digunakan untuk makanan asal babi.</t>
        </is>
      </c>
      <c r="C174" s="7" t="inlineStr">
        <is>
          <t>PKM per. 36(2), 36(3); MPPHM 6(9)</t>
        </is>
      </c>
      <c r="D174" s="7" t="inlineStr"/>
      <c r="E174" s="7" t="inlineStr"/>
      <c r="F174" t="inlineStr">
        <is>
          <t>G</t>
        </is>
      </c>
    </row>
    <row r="175">
      <c r="A175" s="7" t="inlineStr">
        <is>
          <t>G5</t>
        </is>
      </c>
      <c r="B175" s="7" t="inlineStr">
        <is>
          <t>Kawasan penyediaan tidak digunakan untuk tujuan lain tanpa kawalan halal (cth. memasak makanan peribadi pekerja atau bahan tempahan pelanggan yang belum disahkan).</t>
        </is>
      </c>
      <c r="C175" s="7" t="inlineStr">
        <is>
          <t>MPPHM 17(3)(c)</t>
        </is>
      </c>
      <c r="D175" s="7" t="inlineStr"/>
      <c r="E175" s="7" t="inlineStr"/>
      <c r="F175" t="inlineStr">
        <is>
          <t>G</t>
        </is>
      </c>
    </row>
    <row r="176">
      <c r="A176" s="7" t="inlineStr">
        <is>
          <t>G6</t>
        </is>
      </c>
      <c r="B176" s="7" t="inlineStr">
        <is>
          <t>Tiada makanan disediakan untuk upacara penyembahan atau tujuan keagamaan yang memberi implikasi negatif.</t>
        </is>
      </c>
      <c r="C176" s="7" t="inlineStr">
        <is>
          <t>MPPHM 17(3)(d)</t>
        </is>
      </c>
      <c r="D176" s="7" t="inlineStr"/>
      <c r="E176" s="7" t="inlineStr"/>
      <c r="F176" t="inlineStr">
        <is>
          <t>G</t>
        </is>
      </c>
    </row>
    <row r="177">
      <c r="A177" s="7" t="inlineStr">
        <is>
          <t>G7</t>
        </is>
      </c>
      <c r="B177" s="7" t="inlineStr">
        <is>
          <t>Makanan staf disediakan daripada bahan yang diisytiharkan di dapur yang disijilkan, atau dibeli daripada premis yang memegang SPHM.</t>
        </is>
      </c>
      <c r="C177" s="7" t="inlineStr">
        <is>
          <t>MPPHM 17(8)(a), 17(3)(c)</t>
        </is>
      </c>
      <c r="D177" s="7" t="inlineStr"/>
      <c r="E177" s="7" t="inlineStr"/>
      <c r="F177" t="inlineStr">
        <is>
          <t>G</t>
        </is>
      </c>
    </row>
    <row r="178">
      <c r="A178" s="7" t="inlineStr">
        <is>
          <t>G8</t>
        </is>
      </c>
      <c r="B178" s="7" t="inlineStr">
        <is>
          <t>Makanan dilindungi daripada pencemaran semasa penyediaan, pembungkusan dan hidangan, termasuk apabila bekas disusun bertindih.</t>
        </is>
      </c>
      <c r="C178" s="7" t="inlineStr">
        <is>
          <t>PKM per. 36(1)</t>
        </is>
      </c>
      <c r="D178" s="7" t="inlineStr"/>
      <c r="E178" s="7" t="inlineStr"/>
      <c r="F178" t="inlineStr">
        <is>
          <t>G</t>
        </is>
      </c>
    </row>
    <row r="179">
      <c r="A179" s="7" t="inlineStr">
        <is>
          <t>G9</t>
        </is>
      </c>
      <c r="B179" s="7" t="inlineStr">
        <is>
          <t>Makanan sedia dimakan tidak disentuh dengan tangan kosong (penyepit, sarung tangan atau senduk digunakan), bekas atau beg tidak dibuka dengan ditiup, dan tuala bersih digunakan.</t>
        </is>
      </c>
      <c r="C179" s="7" t="inlineStr">
        <is>
          <t>PKM per. 36(1)</t>
        </is>
      </c>
      <c r="D179" s="7" t="inlineStr"/>
      <c r="E179" s="7" t="inlineStr"/>
      <c r="F179" t="inlineStr">
        <is>
          <t>G</t>
        </is>
      </c>
    </row>
    <row r="180">
      <c r="A180" s="7" t="inlineStr">
        <is>
          <t>G10</t>
        </is>
      </c>
      <c r="B180" s="7" t="inlineStr">
        <is>
          <t>Bahan mentah dan makanan mudah rosak tidak dibiarkan pada suhu yang menggalakkan pertumbuhan patogen (cth. ayam atau daging mentah di atas meja kerja terlalu lama), dan rantaian sejuk tidak terputus semasa penyediaan.</t>
        </is>
      </c>
      <c r="C180" s="7" t="inlineStr">
        <is>
          <t>PKM per. 36(1)(k), 36(1)(l)</t>
        </is>
      </c>
      <c r="D180" s="7" t="inlineStr"/>
      <c r="E180" s="7" t="inlineStr"/>
      <c r="F180" t="inlineStr">
        <is>
          <t>G</t>
        </is>
      </c>
    </row>
    <row r="181">
      <c r="A181" s="7" t="inlineStr">
        <is>
          <t>G11</t>
        </is>
      </c>
      <c r="B181" s="7" t="inlineStr">
        <is>
          <t>Makanan panas dalam pemanas atau bufet dikekalkan pada suhu melebihi 60°C, dan makanan sejuk disejukkan dengan sewajarnya.</t>
        </is>
      </c>
      <c r="C181" s="7" t="inlineStr">
        <is>
          <t>PKM per. 36(1)(m)</t>
        </is>
      </c>
      <c r="D181" s="7" t="inlineStr"/>
      <c r="E181" s="7" t="inlineStr"/>
      <c r="F181" t="inlineStr">
        <is>
          <t>G</t>
        </is>
      </c>
    </row>
    <row r="182">
      <c r="A182" s="7" t="inlineStr">
        <is>
          <t>G12</t>
        </is>
      </c>
      <c r="B182" s="7" t="inlineStr">
        <is>
          <t>Penyahbekuan dibuat dengan cara yang meminimumkan pertumbuhan patogen, dengan cecair disalirkan, dan makanan sejuk beku tidak dibekukan semula selepas dinyahbeku.</t>
        </is>
      </c>
      <c r="C182" s="7" t="inlineStr">
        <is>
          <t>PKM per. 35(5), 36(1)</t>
        </is>
      </c>
      <c r="D182" s="7" t="inlineStr"/>
      <c r="E182" s="7" t="inlineStr"/>
      <c r="F182" t="inlineStr">
        <is>
          <t>G</t>
        </is>
      </c>
    </row>
    <row r="183">
      <c r="A183" s="7" t="inlineStr">
        <is>
          <t>G13</t>
        </is>
      </c>
      <c r="B183" s="7" t="inlineStr">
        <is>
          <t>Makanan sedia dimakan dipamerkan dalam kabinet, bekas atau penutup yang mudah dibersihkan (cth. kaunter lauk, bufet, pameran kek).</t>
        </is>
      </c>
      <c r="C183" s="7" t="inlineStr">
        <is>
          <t>PKM per. 37(1); MS 1500 kl. 4.6*</t>
        </is>
      </c>
      <c r="D183" s="7" t="inlineStr"/>
      <c r="E183" s="7" t="inlineStr"/>
      <c r="F183" t="inlineStr">
        <is>
          <t>G</t>
        </is>
      </c>
    </row>
    <row r="184">
      <c r="A184" s="7" t="inlineStr">
        <is>
          <t>G14</t>
        </is>
      </c>
      <c r="B184" s="7" t="inlineStr">
        <is>
          <t>Bufet atau layan diri: setiap hidangan mempunyai senduk atau penyepit sendiri, dan pelanggan tidak menyentuh makanan dengan tangan.</t>
        </is>
      </c>
      <c r="C184" s="7" t="inlineStr">
        <is>
          <t>PKM per. 36(1)</t>
        </is>
      </c>
      <c r="D184" s="7" t="inlineStr"/>
      <c r="E184" s="7" t="inlineStr"/>
      <c r="F184" t="inlineStr">
        <is>
          <t>G</t>
        </is>
      </c>
    </row>
    <row r="185">
      <c r="A185" s="7" t="inlineStr">
        <is>
          <t>G15</t>
        </is>
      </c>
      <c r="B185" s="7" t="inlineStr">
        <is>
          <t>Hotel: makanan untuk restoran (termasuk dapur terbuka dan stesen langsung), majlis, acara, bufet dan room service hanya diambil dari dapur yang disijilkan.</t>
        </is>
      </c>
      <c r="C185" s="7" t="inlineStr">
        <is>
          <t>MPPHM 18(4)(j)(i)</t>
        </is>
      </c>
      <c r="D185" s="7" t="inlineStr"/>
      <c r="E185" s="7" t="inlineStr"/>
      <c r="F185" t="inlineStr">
        <is>
          <t>G</t>
        </is>
      </c>
    </row>
    <row r="186">
      <c r="A186" s="7" t="inlineStr">
        <is>
          <t>G16</t>
        </is>
      </c>
      <c r="B186" s="7" t="inlineStr">
        <is>
          <t>Hotel: hidangan dari dapur yang disijilkan tidak bercampur dengan hidangan dari dapur yang tidak disijilkan, termasuk dalam majlis yang turut menghidang arak. Dokumen tempahan majlis (BEO) menunjukkan kawalan ini.</t>
        </is>
      </c>
      <c r="C186" s="7" t="inlineStr">
        <is>
          <t>MPPHM 18(4)(j)(i), 17(5)(a)</t>
        </is>
      </c>
      <c r="D186" s="7" t="inlineStr"/>
      <c r="E186" s="7" t="inlineStr"/>
      <c r="F186" t="inlineStr">
        <is>
          <t>G</t>
        </is>
      </c>
    </row>
    <row r="187">
      <c r="A187" s="7" t="inlineStr">
        <is>
          <t>G17</t>
        </is>
      </c>
      <c r="B187" s="7" t="inlineStr">
        <is>
          <t>Hotel: majlis yang menggunakan katering luar atau makanan tidak halal dari luar tidak menggunakan dapur, perkakas dan pinggan mangkuk milik dapur yang disijilkan.</t>
        </is>
      </c>
      <c r="C187" s="7" t="inlineStr">
        <is>
          <t>MPPHM 18(4)(j)(i), 17(5)(a)</t>
        </is>
      </c>
      <c r="D187" s="7" t="inlineStr"/>
      <c r="E187" s="7" t="inlineStr"/>
      <c r="F187" t="inlineStr">
        <is>
          <t>G</t>
        </is>
      </c>
    </row>
    <row r="188">
      <c r="A188" s="7" t="inlineStr">
        <is>
          <t>G18</t>
        </is>
      </c>
      <c r="B188" s="7" t="inlineStr">
        <is>
          <t>Daging (jika dipotong di premis): kawasan pemotongan dibersihkan dan dinyahkuman sebelum dan selepas digunakan setiap hari, kawasan potong dan nyah tulang dikekalkan di bawah 15°C, dan peralatannya licin serta tahan karat.</t>
        </is>
      </c>
      <c r="C188" s="7" t="inlineStr">
        <is>
          <t>PKM per. 39(1)(a), 39(1)(b), 39(2)</t>
        </is>
      </c>
      <c r="D188" s="7" t="inlineStr"/>
      <c r="E188" s="7" t="inlineStr"/>
      <c r="F188" t="inlineStr">
        <is>
          <t>G</t>
        </is>
      </c>
    </row>
    <row r="189">
      <c r="A189" s="7" t="inlineStr">
        <is>
          <t>G19</t>
        </is>
      </c>
      <c r="B189" s="7" t="inlineStr">
        <is>
          <t>Ikan segar (jika disiang di premis): penyiangan dan pemotongan dibuat secara bersih dengan air terawat, dan isi ikan dibalut serta disejukkan dengan segera.</t>
        </is>
      </c>
      <c r="C189" s="7" t="inlineStr">
        <is>
          <t>PKM per. 43(1)</t>
        </is>
      </c>
      <c r="D189" s="7" t="inlineStr"/>
      <c r="E189" s="7" t="inlineStr"/>
      <c r="F189" t="inlineStr">
        <is>
          <t>G</t>
        </is>
      </c>
    </row>
    <row r="190">
      <c r="A190" s="7" t="inlineStr">
        <is>
          <t>G20</t>
        </is>
      </c>
      <c r="B190" s="7" t="inlineStr">
        <is>
          <t>Krustasea atau moluska yang dimasak lebih awal (jika ada, cth. udang atau ketam rebus untuk hidangan sejuk): disejukkan segera selepas dimasak dengan air terawat, dikupas secara bersih, kemudian disejukkan atau dibekukan dengan segera.</t>
        </is>
      </c>
      <c r="C190" s="7" t="inlineStr">
        <is>
          <t>PKM per. 44(1)</t>
        </is>
      </c>
      <c r="D190" s="7" t="inlineStr"/>
      <c r="E190" s="7" t="inlineStr"/>
      <c r="F190" t="inlineStr">
        <is>
          <t>G</t>
        </is>
      </c>
    </row>
    <row r="191">
      <c r="A191" s="7" t="inlineStr">
        <is>
          <t>G21</t>
        </is>
      </c>
      <c r="B191" s="7" t="inlineStr">
        <is>
          <t>Aiskrim atau konfeksi beku (jika disediakan di premis): peti beku terbuka diletakkan di ruang kalis habuk dan dipasang pelindung yang ketat.</t>
        </is>
      </c>
      <c r="C191" s="7" t="inlineStr">
        <is>
          <t>PKM per. 48(1)</t>
        </is>
      </c>
      <c r="D191" s="7" t="inlineStr"/>
      <c r="E191" s="7" t="inlineStr"/>
      <c r="F191" t="inlineStr">
        <is>
          <t>G</t>
        </is>
      </c>
    </row>
    <row r="192">
      <c r="A192" s="7" t="inlineStr">
        <is>
          <t>G22</t>
        </is>
      </c>
      <c r="B192" s="7" t="inlineStr">
        <is>
          <t>Mesin layan diri makanan atau air (jika ada): nama dan alamat pengendali dilabel pada mesin, mesin diletakkan di tempat yang terlindung dan bersih, dan lantai di sekelilingnya licin serta kalis air.</t>
        </is>
      </c>
      <c r="C192" s="7" t="inlineStr">
        <is>
          <t>PKM per. 53(1)</t>
        </is>
      </c>
      <c r="D192" s="7" t="inlineStr"/>
      <c r="E192" s="7" t="inlineStr"/>
      <c r="F192" t="inlineStr">
        <is>
          <t>G</t>
        </is>
      </c>
    </row>
    <row r="193">
      <c r="A193" s="7" t="inlineStr">
        <is>
          <t>G23</t>
        </is>
      </c>
      <c r="B193" s="7" t="inlineStr">
        <is>
          <t>Mesin layan diri makanan (jika ada): berfungsi dengan baik, bersih, bebas perosak dan digunakan untuk makanan sahaja. Makanan mudah rosak dikawal suhunya, dan bahagian yang menyentuh makanan dibersihkan setiap hari.</t>
        </is>
      </c>
      <c r="C193" s="7" t="inlineStr">
        <is>
          <t>PKM per. 54(1)</t>
        </is>
      </c>
      <c r="D193" s="7" t="inlineStr"/>
      <c r="E193" s="7" t="inlineStr"/>
      <c r="F193" t="inlineStr">
        <is>
          <t>G</t>
        </is>
      </c>
    </row>
    <row r="194">
      <c r="A194" s="7" t="inlineStr">
        <is>
          <t>G24</t>
        </is>
      </c>
      <c r="B194" s="7" t="inlineStr">
        <is>
          <t>Mesin layan diri air (jika ada): rawatan dan disinfeksi air berfungsi, peranti pencegah aliran balik dipasang, dan bekalan air awam yang diluluskan digunakan.</t>
        </is>
      </c>
      <c r="C194" s="7" t="inlineStr">
        <is>
          <t>PKM per. 55(1)</t>
        </is>
      </c>
      <c r="D194" s="7" t="inlineStr"/>
      <c r="E194" s="7" t="inlineStr"/>
      <c r="F194" t="inlineStr">
        <is>
          <t>G</t>
        </is>
      </c>
    </row>
    <row r="195">
      <c r="A195" s="4" t="inlineStr">
        <is>
          <t>Bahagian H: Peralatan, Perkakas &amp; Bahan Pencuci</t>
        </is>
      </c>
      <c r="B195" s="5" t="n"/>
      <c r="C195" s="5" t="n"/>
      <c r="D195" s="5" t="n"/>
      <c r="E195" s="6" t="n"/>
    </row>
    <row r="196" ht="26" customHeight="1">
      <c r="A196" s="2" t="inlineStr">
        <is>
          <t>Periksa peralatan dapur, perkakas dan pinggan mangkuk, kawasan basuh pinggan serta bahan pencuci yang digunakan.</t>
        </is>
      </c>
    </row>
    <row r="197">
      <c r="A197" s="7" t="inlineStr">
        <is>
          <t>H1</t>
        </is>
      </c>
      <c r="B197" s="7" t="inlineStr">
        <is>
          <t>Peralatan, perkakas dan pinggan mangkuk digunakan untuk makanan halal sahaja.</t>
        </is>
      </c>
      <c r="C197" s="7" t="inlineStr">
        <is>
          <t>MPPHM 17(5)(a); MS 1500 kl. 4.3*</t>
        </is>
      </c>
      <c r="D197" s="7" t="inlineStr"/>
      <c r="E197" s="7" t="inlineStr"/>
      <c r="F197" t="inlineStr">
        <is>
          <t>H</t>
        </is>
      </c>
    </row>
    <row r="198">
      <c r="A198" s="7" t="inlineStr">
        <is>
          <t>H2</t>
        </is>
      </c>
      <c r="B198" s="7" t="inlineStr">
        <is>
          <t>Hotel: perkakas dan pinggan mangkuk milik dapur yang disijilkan dapat dikenal pasti dan tidak dipinjam atau dikongsi dengan dapur atau outlet yang tidak disijilkan.</t>
        </is>
      </c>
      <c r="C198" s="7" t="inlineStr">
        <is>
          <t>MPPHM 18(4)(j)(i), 17(5)(a)</t>
        </is>
      </c>
      <c r="D198" s="7" t="inlineStr"/>
      <c r="E198" s="7" t="inlineStr"/>
      <c r="F198" t="inlineStr">
        <is>
          <t>H</t>
        </is>
      </c>
    </row>
    <row r="199">
      <c r="A199" s="7" t="inlineStr">
        <is>
          <t>H3</t>
        </is>
      </c>
      <c r="B199" s="7" t="inlineStr">
        <is>
          <t>Peralatan terpakai atau yang diambil dari premis lain disahkan tidak pernah digunakan untuk makanan tidak halal, atau telah disertu sebelum digunakan.</t>
        </is>
      </c>
      <c r="C199" s="7" t="inlineStr">
        <is>
          <t>MPPHM 17(5)(h); MS 1500 kl. 4.3*, Lampiran A*</t>
        </is>
      </c>
      <c r="D199" s="7" t="inlineStr"/>
      <c r="E199" s="7" t="inlineStr"/>
      <c r="F199" t="inlineStr">
        <is>
          <t>H</t>
        </is>
      </c>
    </row>
    <row r="200">
      <c r="A200" s="7" t="inlineStr">
        <is>
          <t>H4</t>
        </is>
      </c>
      <c r="B200" s="7" t="inlineStr">
        <is>
          <t>Tiada peralatan berlabel atau berimplikasi negatif (cth. gelas, cawan, pembuka botol atau peti sejuk berjenama arak atau bir).</t>
        </is>
      </c>
      <c r="C200" s="7" t="inlineStr">
        <is>
          <t>MPPHM 17(5)(b)</t>
        </is>
      </c>
      <c r="D200" s="7" t="inlineStr"/>
      <c r="E200" s="7" t="inlineStr"/>
      <c r="F200" t="inlineStr">
        <is>
          <t>H</t>
        </is>
      </c>
    </row>
    <row r="201">
      <c r="A201" s="7" t="inlineStr">
        <is>
          <t>H5</t>
        </is>
      </c>
      <c r="B201" s="7" t="inlineStr">
        <is>
          <t>Status halal peralatan bersumberkan haiwan disahkan (cth. berus pastri atau berus bulu, bone china, penapis air berasaskan arang tulang).</t>
        </is>
      </c>
      <c r="C201" s="7" t="inlineStr">
        <is>
          <t>MPPHM 17(5)(c); MS 1500 kl. 4.3*</t>
        </is>
      </c>
      <c r="D201" s="7" t="inlineStr"/>
      <c r="E201" s="7" t="inlineStr"/>
      <c r="F201" t="inlineStr">
        <is>
          <t>H</t>
        </is>
      </c>
    </row>
    <row r="202">
      <c r="A202" s="7" t="inlineStr">
        <is>
          <t>H6</t>
        </is>
      </c>
      <c r="B202" s="7" t="inlineStr">
        <is>
          <t>Peralatan dalam keadaan baik, bersih, bebas najis, tidak toksik dan tidak berkarat.</t>
        </is>
      </c>
      <c r="C202" s="7" t="inlineStr">
        <is>
          <t>MPPHM 17(5)(d); PKM per. 35(1)</t>
        </is>
      </c>
      <c r="D202" s="7" t="inlineStr"/>
      <c r="E202" s="7" t="inlineStr"/>
      <c r="F202" t="inlineStr">
        <is>
          <t>H</t>
        </is>
      </c>
    </row>
    <row r="203">
      <c r="A203" s="7" t="inlineStr">
        <is>
          <t>H7</t>
        </is>
      </c>
      <c r="B203" s="7" t="inlineStr">
        <is>
          <t>Peralatan yang rosak atau tidak digunakan dikenal pasti, dialihkan atau diasingkan, dan peralatan rosak dibuang.</t>
        </is>
      </c>
      <c r="C203" s="7" t="inlineStr">
        <is>
          <t>MPPHM 17(5)(f); PKM per. 35(2)</t>
        </is>
      </c>
      <c r="D203" s="7" t="inlineStr"/>
      <c r="E203" s="7" t="inlineStr"/>
      <c r="F203" t="inlineStr">
        <is>
          <t>H</t>
        </is>
      </c>
    </row>
    <row r="204">
      <c r="A204" s="7" t="inlineStr">
        <is>
          <t>H8</t>
        </is>
      </c>
      <c r="B204" s="7" t="inlineStr">
        <is>
          <t>Prosedur dan jadual pembersihan serta penyelenggaraan berkala peralatan dilaksanakan dan direkodkan, terutamanya bagi alat timbang dan sukat (cth. penimbang di bakeri dan di kaunter).</t>
        </is>
      </c>
      <c r="C204" s="7" t="inlineStr">
        <is>
          <t>MPPHM 17(5)(e)</t>
        </is>
      </c>
      <c r="D204" s="7" t="inlineStr"/>
      <c r="E204" s="7" t="inlineStr"/>
      <c r="F204" t="inlineStr">
        <is>
          <t>H</t>
        </is>
      </c>
    </row>
    <row r="205">
      <c r="A205" s="7" t="inlineStr">
        <is>
          <t>H9</t>
        </is>
      </c>
      <c r="B205" s="7" t="inlineStr">
        <is>
          <t>Permukaan yang menyentuh makanan licin, kalis air dan tidak rosak, dan peralatan dipasang supaya mudah dibersihkan.</t>
        </is>
      </c>
      <c r="C205" s="7" t="inlineStr">
        <is>
          <t>PKM per. 35(1)</t>
        </is>
      </c>
      <c r="D205" s="7" t="inlineStr"/>
      <c r="E205" s="7" t="inlineStr"/>
      <c r="F205" t="inlineStr">
        <is>
          <t>H</t>
        </is>
      </c>
    </row>
    <row r="206">
      <c r="A206" s="7" t="inlineStr">
        <is>
          <t>H10</t>
        </is>
      </c>
      <c r="B206" s="7" t="inlineStr">
        <is>
          <t>Papan pemotong berasingan digunakan bagi bahan mentah dan makanan masak, dalam keadaan tidak rosak dan mudah dialihkan untuk dibersihkan.</t>
        </is>
      </c>
      <c r="C206" s="7" t="inlineStr">
        <is>
          <t>PKM per. 35(1)</t>
        </is>
      </c>
      <c r="D206" s="7" t="inlineStr"/>
      <c r="E206" s="7" t="inlineStr"/>
      <c r="F206" t="inlineStr">
        <is>
          <t>H</t>
        </is>
      </c>
    </row>
    <row r="207">
      <c r="A207" s="7" t="inlineStr">
        <is>
          <t>H11</t>
        </is>
      </c>
      <c r="B207" s="7" t="inlineStr">
        <is>
          <t>Peralatan untuk bahan mentah dibersihkan dan disanitasi sebelum digunakan untuk makanan masak.</t>
        </is>
      </c>
      <c r="C207" s="7" t="inlineStr">
        <is>
          <t>PKM per. 35(1)</t>
        </is>
      </c>
      <c r="D207" s="7" t="inlineStr"/>
      <c r="E207" s="7" t="inlineStr"/>
      <c r="F207" t="inlineStr">
        <is>
          <t>H</t>
        </is>
      </c>
    </row>
    <row r="208">
      <c r="A208" s="7" t="inlineStr">
        <is>
          <t>H12</t>
        </is>
      </c>
      <c r="B208" s="7" t="inlineStr">
        <is>
          <t>Bahan pencuci dan disinfektan dibilas sepenuhnya dari permukaan yang menyentuh makanan, dan tiada bahan toksik yang boleh mencemarkan makanan digunakan.</t>
        </is>
      </c>
      <c r="C208" s="7" t="inlineStr">
        <is>
          <t>PKM per. 35(1), 35(3)</t>
        </is>
      </c>
      <c r="D208" s="7" t="inlineStr"/>
      <c r="E208" s="7" t="inlineStr"/>
      <c r="F208" t="inlineStr">
        <is>
          <t>H</t>
        </is>
      </c>
    </row>
    <row r="209">
      <c r="A209" s="7" t="inlineStr">
        <is>
          <t>H13</t>
        </is>
      </c>
      <c r="B209" s="7" t="inlineStr">
        <is>
          <t>Ais dibuat daripada air terawat dan dikendalikan secara bersih (menggunakan penyodok ais, bukan gelas atau tangan).</t>
        </is>
      </c>
      <c r="C209" s="7" t="inlineStr">
        <is>
          <t>PKM per. 35(1)</t>
        </is>
      </c>
      <c r="D209" s="7" t="inlineStr"/>
      <c r="E209" s="7" t="inlineStr"/>
      <c r="F209" t="inlineStr">
        <is>
          <t>H</t>
        </is>
      </c>
    </row>
    <row r="210">
      <c r="A210" s="7" t="inlineStr">
        <is>
          <t>H14</t>
        </is>
      </c>
      <c r="B210" s="7" t="inlineStr">
        <is>
          <t>Kemudahan basuh pinggan dan peralatan tahan karat, mudah dibersihkan dan mempunyai air panas dan sejuk yang mencukupi. Bahan dan alat pencuci serta disinfektan mencukupi dan sentiasa tersedia.</t>
        </is>
      </c>
      <c r="C210" s="7" t="inlineStr">
        <is>
          <t>PKM per. 15(4), 15(5)</t>
        </is>
      </c>
      <c r="D210" s="7" t="inlineStr"/>
      <c r="E210" s="7" t="inlineStr"/>
      <c r="F210" t="inlineStr">
        <is>
          <t>H</t>
        </is>
      </c>
    </row>
    <row r="211">
      <c r="A211" s="7" t="inlineStr">
        <is>
          <t>H15</t>
        </is>
      </c>
      <c r="B211" s="7" t="inlineStr">
        <is>
          <t>Status halal bahan pencuci (sabun basuh pinggan, sabun tangan, pencuci lantai, sanitizer) disahkan melalui sijil halal atau dokumen sokongan: bahan itu tidak mengandungi bahan najis atau derivatif babi.</t>
        </is>
      </c>
      <c r="C211" s="7" t="inlineStr">
        <is>
          <t>MS 1500 kl. 4.4*; MHMS 5(6)</t>
        </is>
      </c>
      <c r="D211" s="7" t="inlineStr"/>
      <c r="E211" s="7" t="inlineStr"/>
      <c r="F211" t="inlineStr">
        <is>
          <t>H</t>
        </is>
      </c>
    </row>
    <row r="212">
      <c r="A212" s="7" t="inlineStr">
        <is>
          <t>H16</t>
        </is>
      </c>
      <c r="B212" s="7" t="inlineStr">
        <is>
          <t>Pelincir gred makanan bagi mesin dapur (pengisar, pengadun doh, mesin mi) dan agen pelepas loyang atau minyak sembur di bakeri berasal daripada sumber halal dan didokumenkan.</t>
        </is>
      </c>
      <c r="C212" s="7" t="inlineStr">
        <is>
          <t>MS 1500 kl. 4.3*</t>
        </is>
      </c>
      <c r="D212" s="7" t="inlineStr"/>
      <c r="E212" s="7" t="inlineStr"/>
      <c r="F212" t="inlineStr">
        <is>
          <t>H</t>
        </is>
      </c>
    </row>
    <row r="213">
      <c r="A213" s="7" t="inlineStr">
        <is>
          <t>H17</t>
        </is>
      </c>
      <c r="B213" s="7" t="inlineStr">
        <is>
          <t>Peralatan yang tercemar najis mughallazah disertu mengikut kaedah yang ditetapkan, dan rekod sertu disimpan.</t>
        </is>
      </c>
      <c r="C213" s="7" t="inlineStr">
        <is>
          <t>MPPHM 17(5)(h); MHMS 5(12); MS 1500 Lampiran A*</t>
        </is>
      </c>
      <c r="D213" s="7" t="inlineStr"/>
      <c r="E213" s="7" t="inlineStr"/>
      <c r="F213" t="inlineStr">
        <is>
          <t>H</t>
        </is>
      </c>
    </row>
    <row r="214">
      <c r="A214" s="4" t="inlineStr">
        <is>
          <t>Bahagian I: Kebersihan, Sanitasi, Kawalan Perosak &amp; Sisa</t>
        </is>
      </c>
      <c r="B214" s="5" t="n"/>
      <c r="C214" s="5" t="n"/>
      <c r="D214" s="5" t="n"/>
      <c r="E214" s="6" t="n"/>
    </row>
    <row r="215" ht="26" customHeight="1">
      <c r="A215" s="2" t="inlineStr">
        <is>
          <t>Periksa tahap kebersihan keseluruhan, kemudahan basuh tangan, tandas, tong sampah, kawasan sisa dan rekod kawalan perosak.</t>
        </is>
      </c>
    </row>
    <row r="216">
      <c r="A216" s="7" t="inlineStr">
        <is>
          <t>I1</t>
        </is>
      </c>
      <c r="B216" s="7" t="inlineStr">
        <is>
          <t>Premis dibersihkan sekurang-kurangnya sekali sehari mengikut jadual pembersihan.</t>
        </is>
      </c>
      <c r="C216" s="7" t="inlineStr">
        <is>
          <t>PKM per. 15(3); MPPHM 17(10)(a)</t>
        </is>
      </c>
      <c r="D216" s="7" t="inlineStr"/>
      <c r="E216" s="7" t="inlineStr"/>
      <c r="F216" t="inlineStr">
        <is>
          <t>I</t>
        </is>
      </c>
    </row>
    <row r="217">
      <c r="A217" s="7" t="inlineStr">
        <is>
          <t>I2</t>
        </is>
      </c>
      <c r="B217" s="7" t="inlineStr">
        <is>
          <t>Lantai, dinding atau siling tidak disapu atau dibersihkan semasa makanan sedang dikendalikan.</t>
        </is>
      </c>
      <c r="C217" s="7" t="inlineStr">
        <is>
          <t>PKM per. 35(1)</t>
        </is>
      </c>
      <c r="D217" s="7" t="inlineStr"/>
      <c r="E217" s="7" t="inlineStr"/>
      <c r="F217" t="inlineStr">
        <is>
          <t>I</t>
        </is>
      </c>
    </row>
    <row r="218">
      <c r="A218" s="7" t="inlineStr">
        <is>
          <t>I3</t>
        </is>
      </c>
      <c r="B218" s="7" t="inlineStr">
        <is>
          <t>Persekitaran luar premis bersih dan bebas faktor pencemaran.</t>
        </is>
      </c>
      <c r="C218" s="7" t="inlineStr">
        <is>
          <t>MPPHM 17(10)(b)</t>
        </is>
      </c>
      <c r="D218" s="7" t="inlineStr"/>
      <c r="E218" s="7" t="inlineStr"/>
      <c r="F218" t="inlineStr">
        <is>
          <t>I</t>
        </is>
      </c>
    </row>
    <row r="219">
      <c r="A219" s="7" t="inlineStr">
        <is>
          <t>I4</t>
        </is>
      </c>
      <c r="B219" s="7" t="inlineStr">
        <is>
          <t>Kawalan perosak dibuat secara berkala (oleh kontraktor atau secara dalaman) dan direkodkan (laporan rawatan, pelan umpan atau perangkap).</t>
        </is>
      </c>
      <c r="C219" s="7" t="inlineStr">
        <is>
          <t>MPPHM 17(10)(c)</t>
        </is>
      </c>
      <c r="D219" s="7" t="inlineStr"/>
      <c r="E219" s="7" t="inlineStr"/>
      <c r="F219" t="inlineStr">
        <is>
          <t>I</t>
        </is>
      </c>
    </row>
    <row r="220">
      <c r="A220" s="7" t="inlineStr">
        <is>
          <t>I5</t>
        </is>
      </c>
      <c r="B220" s="7" t="inlineStr">
        <is>
          <t>Tiada tanda kehadiran perosak (tikus, lipas, lalat). Jika ditemui, tindakan segera diambil untuk menghapuskannya dan mencegahnya daripada berulang.</t>
        </is>
      </c>
      <c r="C220" s="7" t="inlineStr">
        <is>
          <t>PKM per. 16(1), 16(2)</t>
        </is>
      </c>
      <c r="D220" s="7" t="inlineStr"/>
      <c r="E220" s="7" t="inlineStr"/>
      <c r="F220" t="inlineStr">
        <is>
          <t>I</t>
        </is>
      </c>
    </row>
    <row r="221">
      <c r="A221" s="7" t="inlineStr">
        <is>
          <t>I6</t>
        </is>
      </c>
      <c r="B221" s="7" t="inlineStr">
        <is>
          <t>Rawatan kawalan perosak (kimia, fizikal atau biologi) tidak menjejaskan keselamatan makanan.</t>
        </is>
      </c>
      <c r="C221" s="7" t="inlineStr">
        <is>
          <t>PKM per. 16(3)</t>
        </is>
      </c>
      <c r="D221" s="7" t="inlineStr"/>
      <c r="E221" s="7" t="inlineStr"/>
      <c r="F221" t="inlineStr">
        <is>
          <t>I</t>
        </is>
      </c>
    </row>
    <row r="222">
      <c r="A222" s="7" t="inlineStr">
        <is>
          <t>I7</t>
        </is>
      </c>
      <c r="B222" s="7" t="inlineStr">
        <is>
          <t>Sinki basuh tangan mencukupi dan diletakkan di lokasi yang sesuai, dengan air mengalir, sabun cecair, tisu atau pengering tangan, dan pili yang tidak dikendalikan dengan tangan. Notis basuh tangan dipamerkan di tandas dan di sinki.</t>
        </is>
      </c>
      <c r="C222" s="7" t="inlineStr">
        <is>
          <t>PKM per. 8(1), 27(1), 27(2); MPPHM 17(10)(d)</t>
        </is>
      </c>
      <c r="D222" s="7" t="inlineStr"/>
      <c r="E222" s="7" t="inlineStr"/>
      <c r="F222" t="inlineStr">
        <is>
          <t>I</t>
        </is>
      </c>
    </row>
    <row r="223">
      <c r="A223" s="7" t="inlineStr">
        <is>
          <t>I8</t>
        </is>
      </c>
      <c r="B223" s="7" t="inlineStr">
        <is>
          <t>Sinki basuh tangan berasingan daripada sinki untuk membasuh makanan.</t>
        </is>
      </c>
      <c r="C223" s="7" t="inlineStr">
        <is>
          <t>PKM per. 27(3)</t>
        </is>
      </c>
      <c r="D223" s="7" t="inlineStr"/>
      <c r="E223" s="7" t="inlineStr"/>
      <c r="F223" t="inlineStr">
        <is>
          <t>I</t>
        </is>
      </c>
    </row>
    <row r="224">
      <c r="A224" s="7" t="inlineStr">
        <is>
          <t>I9</t>
        </is>
      </c>
      <c r="B224" s="7" t="inlineStr">
        <is>
          <t>Tong sampah mencukupi, bertutup dan dalam keadaan baik. Jenis injak kaki digalakkan.</t>
        </is>
      </c>
      <c r="C224" s="7" t="inlineStr">
        <is>
          <t>MPPHM 17(10)(e); PKM per. 17(1)</t>
        </is>
      </c>
      <c r="D224" s="7" t="inlineStr"/>
      <c r="E224" s="7" t="inlineStr"/>
      <c r="F224" t="inlineStr">
        <is>
          <t>I</t>
        </is>
      </c>
    </row>
    <row r="225">
      <c r="A225" s="7" t="inlineStr">
        <is>
          <t>I10</t>
        </is>
      </c>
      <c r="B225" s="7" t="inlineStr">
        <is>
          <t>Sisa makanan dialihkan dengan segera dari kawasan makanan, dan kawasan simpanan sisa bersih serta bebas haiwan dan perosak.</t>
        </is>
      </c>
      <c r="C225" s="7" t="inlineStr">
        <is>
          <t>PKM per. 17(1), 17(3)</t>
        </is>
      </c>
      <c r="D225" s="7" t="inlineStr"/>
      <c r="E225" s="7" t="inlineStr"/>
      <c r="F225" t="inlineStr">
        <is>
          <t>I</t>
        </is>
      </c>
    </row>
    <row r="226">
      <c r="A226" s="7" t="inlineStr">
        <is>
          <t>I11</t>
        </is>
      </c>
      <c r="B226" s="7" t="inlineStr">
        <is>
          <t>Sisa, termasuk minyak masak terpakai dan sisa dari perangkap minyak, dilupuskan mengikut prosedur dan undang-undang.</t>
        </is>
      </c>
      <c r="C226" s="7" t="inlineStr">
        <is>
          <t>MPPHM 17(10)(g); PKM per. 17(1)</t>
        </is>
      </c>
      <c r="D226" s="7" t="inlineStr"/>
      <c r="E226" s="7" t="inlineStr"/>
      <c r="F226" t="inlineStr">
        <is>
          <t>I</t>
        </is>
      </c>
    </row>
    <row r="227">
      <c r="A227" s="7" t="inlineStr">
        <is>
          <t>I12</t>
        </is>
      </c>
      <c r="B227" s="7" t="inlineStr">
        <is>
          <t>Tandas mencukupi, bersih, tidak berbau, dilengkapi air mengalir, tisu, sabun dan pengering, dan tidak membuka terus ke kawasan makanan. Prosedur dan jadual pembersihan tandas tersedia dan dipatuhi.</t>
        </is>
      </c>
      <c r="C227" s="7" t="inlineStr">
        <is>
          <t>PKM per. 28; MPPHM 17(10)(f)</t>
        </is>
      </c>
      <c r="D227" s="7" t="inlineStr"/>
      <c r="E227" s="7" t="inlineStr"/>
      <c r="F227" t="inlineStr">
        <is>
          <t>I</t>
        </is>
      </c>
    </row>
    <row r="228">
      <c r="A228" s="4" t="inlineStr">
        <is>
          <t>Bahagian J: Pekerja, Pengendali Makanan, Latihan &amp; Kemudahan</t>
        </is>
      </c>
      <c r="B228" s="5" t="n"/>
      <c r="C228" s="5" t="n"/>
      <c r="D228" s="5" t="n"/>
      <c r="E228" s="6" t="n"/>
    </row>
    <row r="229" ht="26" customHeight="1">
      <c r="A229" s="2" t="inlineStr">
        <is>
          <t>Semak senarai pekerja, jadual syif dan rekod latihan serta kesihatan, perhatikan amalan pekerja, dan periksa loker, ruang rehat serta kemudahan solat.</t>
        </is>
      </c>
    </row>
    <row r="230">
      <c r="A230" s="7" t="inlineStr">
        <is>
          <t>J1</t>
        </is>
      </c>
      <c r="B230" s="7" t="inlineStr">
        <is>
          <t>Jadual tugas atau syif menunjukkan pekerja Muslim berjawatan tetap yang ditetapkan bertugas di setiap dapur atau premis sepanjang operasi, dan mereka hadir semasa audit.</t>
        </is>
      </c>
      <c r="C230" s="7" t="inlineStr">
        <is>
          <t>MPPHM 17(9)(a), 18(4)(j)</t>
        </is>
      </c>
      <c r="D230" s="7" t="inlineStr"/>
      <c r="E230" s="7" t="inlineStr"/>
      <c r="F230" t="inlineStr">
        <is>
          <t>J</t>
        </is>
      </c>
    </row>
    <row r="231">
      <c r="A231" s="7" t="inlineStr">
        <is>
          <t>J2</t>
        </is>
      </c>
      <c r="B231" s="7" t="inlineStr">
        <is>
          <t>Bukti status pekerja Muslim yang dilantik tersedia bagi setiap premis, dapur atau outlet: surat lantikan tetap, dan salinan MyKad bagi sub-jenis yang mensyaratkan warganegara Malaysia.</t>
        </is>
      </c>
      <c r="C231" s="7" t="inlineStr">
        <is>
          <t>MPPHM 18(4)(j)</t>
        </is>
      </c>
      <c r="D231" s="7" t="inlineStr"/>
      <c r="E231" s="7" t="inlineStr"/>
      <c r="F231" t="inlineStr">
        <is>
          <t>J</t>
        </is>
      </c>
    </row>
    <row r="232">
      <c r="A232" s="7" t="inlineStr">
        <is>
          <t>J3</t>
        </is>
      </c>
      <c r="B232" s="7" t="inlineStr">
        <is>
          <t>Semua pengendali makanan memiliki Sijil Latihan Pengendali Makanan daripada institusi yang diiktiraf KKM.</t>
        </is>
      </c>
      <c r="C232" s="7" t="inlineStr">
        <is>
          <t>MPPHM 18(4)(b); PKM per. 30(1)</t>
        </is>
      </c>
      <c r="D232" s="7" t="inlineStr"/>
      <c r="E232" s="7" t="inlineStr"/>
      <c r="F232" t="inlineStr">
        <is>
          <t>J</t>
        </is>
      </c>
    </row>
    <row r="233">
      <c r="A233" s="7" t="inlineStr">
        <is>
          <t>J4</t>
        </is>
      </c>
      <c r="B233" s="7" t="inlineStr">
        <is>
          <t>Semua pengendali makanan telah menjalani pemeriksaan perubatan dan menerima suntikan anti-tifoid yang masih sah daripada pengamal perubatan berdaftar.</t>
        </is>
      </c>
      <c r="C233" s="7" t="inlineStr">
        <is>
          <t>MPPHM 18(4)(c); PKM per. 31(1)</t>
        </is>
      </c>
      <c r="D233" s="7" t="inlineStr"/>
      <c r="E233" s="7" t="inlineStr"/>
      <c r="F233" t="inlineStr">
        <is>
          <t>J</t>
        </is>
      </c>
    </row>
    <row r="234">
      <c r="A234" s="7" t="inlineStr">
        <is>
          <t>J5</t>
        </is>
      </c>
      <c r="B234" s="7" t="inlineStr">
        <is>
          <t>Pengendali yang sakit atau disyaki membawa penyakit bawaan makanan melaporkan keadaannya dan tidak mengendalikan makanan sehingga disahkan sihat.</t>
        </is>
      </c>
      <c r="C234" s="7" t="inlineStr">
        <is>
          <t>PKM per. 31(2)</t>
        </is>
      </c>
      <c r="D234" s="7" t="inlineStr"/>
      <c r="E234" s="7" t="inlineStr"/>
      <c r="F234" t="inlineStr">
        <is>
          <t>J</t>
        </is>
      </c>
    </row>
    <row r="235">
      <c r="A235" s="7" t="inlineStr">
        <is>
          <t>J6</t>
        </is>
      </c>
      <c r="B235" s="7" t="inlineStr">
        <is>
          <t>Pakaian pekerja bersih dan sesuai, termasuk pakaian luar (apron) berwarna cerah, penutup kepala dan kasut. Pakaian kerja hanya dipakai di premis dan disimpan dalam almari atau loker apabila tidak digunakan.</t>
        </is>
      </c>
      <c r="C235" s="7" t="inlineStr">
        <is>
          <t>PKM per. 32(1), 32(2); MPPHM 17(9)(c)</t>
        </is>
      </c>
      <c r="D235" s="7" t="inlineStr"/>
      <c r="E235" s="7" t="inlineStr"/>
      <c r="F235" t="inlineStr">
        <is>
          <t>J</t>
        </is>
      </c>
    </row>
    <row r="236">
      <c r="A236" s="7" t="inlineStr">
        <is>
          <t>J7</t>
        </is>
      </c>
      <c r="B236" s="7" t="inlineStr">
        <is>
          <t>PPE (penutup kepala, sarung tangan, penutup muka) disediakan dan dipakai mengikut tugas.</t>
        </is>
      </c>
      <c r="C236" s="7" t="inlineStr">
        <is>
          <t>MPPHM 17(9)(e)</t>
        </is>
      </c>
      <c r="D236" s="7" t="inlineStr"/>
      <c r="E236" s="7" t="inlineStr"/>
      <c r="F236" t="inlineStr">
        <is>
          <t>J</t>
        </is>
      </c>
    </row>
    <row r="237">
      <c r="A237" s="7" t="inlineStr">
        <is>
          <t>J8</t>
        </is>
      </c>
      <c r="B237" s="7" t="inlineStr">
        <is>
          <t>Kuku pendek dan bersih. Tangan dibasuh sebelum bekerja, selepas ke tandas dan selepas mengendalikan bahan mentah, dan pakaian kerja luar ditanggalkan sebelum ke tandas.</t>
        </is>
      </c>
      <c r="C237" s="7" t="inlineStr">
        <is>
          <t>PKM per. 33(1); MPPHM 17(9)(b)</t>
        </is>
      </c>
      <c r="D237" s="7" t="inlineStr"/>
      <c r="E237" s="7" t="inlineStr"/>
      <c r="F237" t="inlineStr">
        <is>
          <t>J</t>
        </is>
      </c>
    </row>
    <row r="238">
      <c r="A238" s="7" t="inlineStr">
        <is>
          <t>J9</t>
        </is>
      </c>
      <c r="B238" s="7" t="inlineStr">
        <is>
          <t>Barang kemas, jam dan pin tidak dipakai, dan poket tidak mengandungi barang yang boleh jatuh ke dalam makanan.</t>
        </is>
      </c>
      <c r="C238" s="7" t="inlineStr">
        <is>
          <t>PKM per. 33(1)</t>
        </is>
      </c>
      <c r="D238" s="7" t="inlineStr"/>
      <c r="E238" s="7" t="inlineStr"/>
      <c r="F238" t="inlineStr">
        <is>
          <t>J</t>
        </is>
      </c>
    </row>
    <row r="239">
      <c r="A239" s="7" t="inlineStr">
        <is>
          <t>J10</t>
        </is>
      </c>
      <c r="B239" s="7" t="inlineStr">
        <is>
          <t>Pekerja tidak merokok, meludah atau melakukan perbuatan yang boleh mencemarkan makanan.</t>
        </is>
      </c>
      <c r="C239" s="7" t="inlineStr">
        <is>
          <t>PKM per. 33(1); MPPHM 17(9)(f)</t>
        </is>
      </c>
      <c r="D239" s="7" t="inlineStr"/>
      <c r="E239" s="7" t="inlineStr"/>
      <c r="F239" t="inlineStr">
        <is>
          <t>J</t>
        </is>
      </c>
    </row>
    <row r="240">
      <c r="A240" s="7" t="inlineStr">
        <is>
          <t>J11</t>
        </is>
      </c>
      <c r="B240" s="7" t="inlineStr">
        <is>
          <t>Barang peribadi, makanan dan minuman pekerja tidak dibawa masuk ke dapur atau kawasan penyediaan.</t>
        </is>
      </c>
      <c r="C240" s="7" t="inlineStr">
        <is>
          <t>MPPHM 17(9)(d)</t>
        </is>
      </c>
      <c r="D240" s="7" t="inlineStr"/>
      <c r="E240" s="7" t="inlineStr"/>
      <c r="F240" t="inlineStr">
        <is>
          <t>J</t>
        </is>
      </c>
    </row>
    <row r="241">
      <c r="A241" s="7" t="inlineStr">
        <is>
          <t>J12</t>
        </is>
      </c>
      <c r="B241" s="7" t="inlineStr">
        <is>
          <t>Loker, ruang rehat dan pantri pekerja bebas daripada arak, produk babi dan bahan tidak halal yang lain.</t>
        </is>
      </c>
      <c r="C241" s="7" t="inlineStr">
        <is>
          <t>MPPHM 17(8)(a), 17(11)(e)</t>
        </is>
      </c>
      <c r="D241" s="7" t="inlineStr"/>
      <c r="E241" s="7" t="inlineStr"/>
      <c r="F241" t="inlineStr">
        <is>
          <t>J</t>
        </is>
      </c>
    </row>
    <row r="242">
      <c r="A242" s="7" t="inlineStr">
        <is>
          <t>J13</t>
        </is>
      </c>
      <c r="B242" s="7" t="inlineStr">
        <is>
          <t>Pengambilan pekerja (termasuk pekerja asing) mengikut undang-undang, dan dokumen serta permit kerja masih sah.</t>
        </is>
      </c>
      <c r="C242" s="7" t="inlineStr">
        <is>
          <t>MPPHM 17(9)(g)</t>
        </is>
      </c>
      <c r="D242" s="7" t="inlineStr"/>
      <c r="E242" s="7" t="inlineStr"/>
      <c r="F242" t="inlineStr">
        <is>
          <t>J</t>
        </is>
      </c>
    </row>
    <row r="243">
      <c r="A243" s="7" t="inlineStr">
        <is>
          <t>J14</t>
        </is>
      </c>
      <c r="B243" s="7" t="inlineStr">
        <is>
          <t>Kod etika pekerja dan amalan kebersihan yang baik (GHP) diterangkan kepada pekerja dan dipatuhi.</t>
        </is>
      </c>
      <c r="C243" s="7" t="inlineStr">
        <is>
          <t>MPPHM 17(9)(h), 17(3)(e); MS 1500 kl. 4.4*</t>
        </is>
      </c>
      <c r="D243" s="7" t="inlineStr"/>
      <c r="E243" s="7" t="inlineStr"/>
      <c r="F243" t="inlineStr">
        <is>
          <t>J</t>
        </is>
      </c>
    </row>
    <row r="244">
      <c r="A244" s="7" t="inlineStr">
        <is>
          <t>J15</t>
        </is>
      </c>
      <c r="B244" s="7" t="inlineStr">
        <is>
          <t>Pekerja baharu menghadiri latihan kesedaran halal dalam tempoh 3 bulan dari tarikh lantikan.</t>
        </is>
      </c>
      <c r="C244" s="7" t="inlineStr">
        <is>
          <t>MPPHM 17(12)(a); MHMS 5(8) (Latihan Halal)</t>
        </is>
      </c>
      <c r="D244" s="7" t="inlineStr"/>
      <c r="E244" s="7" t="inlineStr"/>
      <c r="F244" t="inlineStr">
        <is>
          <t>J</t>
        </is>
      </c>
    </row>
    <row r="245">
      <c r="A245" s="7" t="inlineStr">
        <is>
          <t>J16</t>
        </is>
      </c>
      <c r="B245" s="7" t="inlineStr">
        <is>
          <t>Semua pekerja penyediaan dan perkhidmatan menghadiri latihan kesedaran halal sekurang-kurangnya sekali setiap 3 tahun, yang dikendalikan oleh organisasi berdaftar dengan HPB JAKIM dan meliputi konsep halal serta prosedur pensijilan.</t>
        </is>
      </c>
      <c r="C245" s="7" t="inlineStr">
        <is>
          <t>MPPHM 17(12)(b), 17(12)(c)</t>
        </is>
      </c>
      <c r="D245" s="7" t="inlineStr"/>
      <c r="E245" s="7" t="inlineStr"/>
      <c r="F245" t="inlineStr">
        <is>
          <t>J</t>
        </is>
      </c>
    </row>
    <row r="246">
      <c r="A246" s="7" t="inlineStr">
        <is>
          <t>J17</t>
        </is>
      </c>
      <c r="B246" s="7" t="inlineStr">
        <is>
          <t>Latihan kesedaran halal diperluas kepada pihak berkaitan (cth. pembekal, penghantar, penyewa gerai) apabila perlu.</t>
        </is>
      </c>
      <c r="C246" s="7" t="inlineStr">
        <is>
          <t>MPPHM 17(12)(d)</t>
        </is>
      </c>
      <c r="D246" s="7" t="inlineStr"/>
      <c r="E246" s="7" t="inlineStr"/>
      <c r="F246" t="inlineStr">
        <is>
          <t>J</t>
        </is>
      </c>
    </row>
    <row r="247">
      <c r="A247" s="7" t="inlineStr">
        <is>
          <t>J18</t>
        </is>
      </c>
      <c r="B247" s="7" t="inlineStr">
        <is>
          <t>Ahli JKHD (hotel, rangkaian, katering besar/sederhana, medan selera) menghadiri latihan kompetensi halal oleh Penyedia Latihan Halal berdaftar sekurang-kurangnya sekali setiap 3 tahun.</t>
        </is>
      </c>
      <c r="C247" s="7" t="inlineStr">
        <is>
          <t>MPPHM 17(12)(e), 17(12)(f); MHMS 5(8)</t>
        </is>
      </c>
      <c r="D247" s="7" t="inlineStr"/>
      <c r="E247" s="7" t="inlineStr"/>
      <c r="F247" t="inlineStr">
        <is>
          <t>J</t>
        </is>
      </c>
    </row>
    <row r="248">
      <c r="A248" s="7" t="inlineStr">
        <is>
          <t>J19</t>
        </is>
      </c>
      <c r="B248" s="7" t="inlineStr">
        <is>
          <t>HAS: keberkesanan latihan kesedaran halal dinilai (cth. ujian ringkas atau soal selidik selepas latihan), dan rekod penilaiannya disimpan.</t>
        </is>
      </c>
      <c r="C248" s="7" t="inlineStr">
        <is>
          <t>MHMS 5(8) (Latihan Halal)</t>
        </is>
      </c>
      <c r="D248" s="7" t="inlineStr"/>
      <c r="E248" s="7" t="inlineStr"/>
      <c r="F248" t="inlineStr">
        <is>
          <t>J</t>
        </is>
      </c>
    </row>
    <row r="249">
      <c r="A249" s="7" t="inlineStr">
        <is>
          <t>J20</t>
        </is>
      </c>
      <c r="B249" s="7" t="inlineStr">
        <is>
          <t>Pengurusan memperuntukkan dana dan kemudahan untuk latihan halal. Pelan latihan (bagi HAS) disediakan, dan rekod latihan disimpan, dikemas kini dan mudah dicapai.</t>
        </is>
      </c>
      <c r="C249" s="7" t="inlineStr">
        <is>
          <t>MPPHM 17(12)(g), 17(12)(h); MHMS 5(8)</t>
        </is>
      </c>
      <c r="D249" s="7" t="inlineStr"/>
      <c r="E249" s="7" t="inlineStr"/>
      <c r="F249" t="inlineStr">
        <is>
          <t>J</t>
        </is>
      </c>
    </row>
    <row r="250">
      <c r="A250" s="7" t="inlineStr">
        <is>
          <t>J21</t>
        </is>
      </c>
      <c r="B250" s="7" t="inlineStr">
        <is>
          <t>Ruang atau bilik solat disediakan di lokasi yang munasabah, dengan saiz yang mencukupi dan dijaga dengan baik.</t>
        </is>
      </c>
      <c r="C250" s="7" t="inlineStr">
        <is>
          <t>MPPHM 17(11)(a)</t>
        </is>
      </c>
      <c r="D250" s="7" t="inlineStr"/>
      <c r="E250" s="7" t="inlineStr"/>
      <c r="F250" t="inlineStr">
        <is>
          <t>J</t>
        </is>
      </c>
    </row>
    <row r="251">
      <c r="A251" s="7" t="inlineStr">
        <is>
          <t>J22</t>
        </is>
      </c>
      <c r="B251" s="7" t="inlineStr">
        <is>
          <t>Pekerja Muslim diberi pelepasan dan masa yang munasabah untuk menunaikan solat fardu, termasuk solat Jumaat.</t>
        </is>
      </c>
      <c r="C251" s="7" t="inlineStr">
        <is>
          <t>MPPHM 17(11)(b)</t>
        </is>
      </c>
      <c r="D251" s="7" t="inlineStr"/>
      <c r="E251" s="7" t="inlineStr"/>
      <c r="F251" t="inlineStr">
        <is>
          <t>J</t>
        </is>
      </c>
    </row>
    <row r="252">
      <c r="A252" s="7" t="inlineStr">
        <is>
          <t>J23</t>
        </is>
      </c>
      <c r="B252" s="7" t="inlineStr">
        <is>
          <t>Bilik ibu menyusu disediakan mengikut keperluan.</t>
        </is>
      </c>
      <c r="C252" s="7" t="inlineStr">
        <is>
          <t>MPPHM 17(11)(c)</t>
        </is>
      </c>
      <c r="D252" s="7" t="inlineStr"/>
      <c r="E252" s="7" t="inlineStr"/>
      <c r="F252" t="inlineStr">
        <is>
          <t>J</t>
        </is>
      </c>
    </row>
    <row r="253">
      <c r="A253" s="7" t="inlineStr">
        <is>
          <t>J24</t>
        </is>
      </c>
      <c r="B253" s="7" t="inlineStr">
        <is>
          <t>Ruang rehat pekerja disediakan.</t>
        </is>
      </c>
      <c r="C253" s="7" t="inlineStr">
        <is>
          <t>MPPHM 17(11)(d)</t>
        </is>
      </c>
      <c r="D253" s="7" t="inlineStr"/>
      <c r="E253" s="7" t="inlineStr"/>
      <c r="F253" t="inlineStr">
        <is>
          <t>J</t>
        </is>
      </c>
    </row>
    <row r="254">
      <c r="A254" s="7" t="inlineStr">
        <is>
          <t>J25</t>
        </is>
      </c>
      <c r="B254" s="7" t="inlineStr">
        <is>
          <t>Kemudahan menyimpan barang peribadi (loker) disediakan.</t>
        </is>
      </c>
      <c r="C254" s="7" t="inlineStr">
        <is>
          <t>MPPHM 17(11)(e)</t>
        </is>
      </c>
      <c r="D254" s="7" t="inlineStr"/>
      <c r="E254" s="7" t="inlineStr"/>
      <c r="F254" t="inlineStr">
        <is>
          <t>J</t>
        </is>
      </c>
    </row>
    <row r="255">
      <c r="A255" s="7" t="inlineStr">
        <is>
          <t>J26</t>
        </is>
      </c>
      <c r="B255" s="7" t="inlineStr">
        <is>
          <t>Bilik persalinan disediakan jika diperlukan.</t>
        </is>
      </c>
      <c r="C255" s="7" t="inlineStr">
        <is>
          <t>PKM per. 26</t>
        </is>
      </c>
      <c r="D255" s="7" t="inlineStr"/>
      <c r="E255" s="7" t="inlineStr"/>
      <c r="F255" t="inlineStr">
        <is>
          <t>J</t>
        </is>
      </c>
    </row>
    <row r="256">
      <c r="A256" s="4" t="inlineStr">
        <is>
          <t>Bahagian K: Pengangkutan, Penghantaran, Katering &amp; Premis Bergerak</t>
        </is>
      </c>
      <c r="B256" s="5" t="n"/>
      <c r="C256" s="5" t="n"/>
      <c r="D256" s="5" t="n"/>
      <c r="E256" s="6" t="n"/>
    </row>
    <row r="257" ht="26" customHeight="1">
      <c r="A257" s="2" t="inlineStr">
        <is>
          <t>Periksa kenderaan, beg dan kotak penghantaran, kontrak pengangkutan pihak ketiga, operasi katering di lokasi majlis dan unit premis bergerak.</t>
        </is>
      </c>
    </row>
    <row r="258">
      <c r="A258" s="7" t="inlineStr">
        <is>
          <t>K1</t>
        </is>
      </c>
      <c r="B258" s="7" t="inlineStr">
        <is>
          <t>Kenderaan digunakan untuk membawa bahan dan makanan halal sahaja, dan tidak pernah digunakan untuk membawa makanan asal babi.</t>
        </is>
      </c>
      <c r="C258" s="7" t="inlineStr">
        <is>
          <t>MPPHM 17(7)(a); PKM per. 56(3); MS 1500 kl. 4.6*</t>
        </is>
      </c>
      <c r="D258" s="7" t="inlineStr"/>
      <c r="E258" s="7" t="inlineStr"/>
      <c r="F258" t="inlineStr">
        <is>
          <t>K</t>
        </is>
      </c>
    </row>
    <row r="259">
      <c r="A259" s="7" t="inlineStr">
        <is>
          <t>K2</t>
        </is>
      </c>
      <c r="B259" s="7" t="inlineStr">
        <is>
          <t>Kenderaan sesuai dengan jenis makanan, bersih dan berfungsi dengan baik. Makanan diasingkan daripada barang bukan makanan, dan bahan berbahaya tidak dibawa bersama.</t>
        </is>
      </c>
      <c r="C259" s="7" t="inlineStr">
        <is>
          <t>MPPHM 17(7)(b), 17(7)(c); PKM per. 56(1)</t>
        </is>
      </c>
      <c r="D259" s="7" t="inlineStr"/>
      <c r="E259" s="7" t="inlineStr"/>
      <c r="F259" t="inlineStr">
        <is>
          <t>K</t>
        </is>
      </c>
    </row>
    <row r="260">
      <c r="A260" s="7" t="inlineStr">
        <is>
          <t>K3</t>
        </is>
      </c>
      <c r="B260" s="7" t="inlineStr">
        <is>
          <t>Kenderaan dibersihkan dan disanitasi selepas membawa jenis makanan yang berbeza atau barang bukan makanan.</t>
        </is>
      </c>
      <c r="C260" s="7" t="inlineStr">
        <is>
          <t>PKM per. 56(2)</t>
        </is>
      </c>
      <c r="D260" s="7" t="inlineStr"/>
      <c r="E260" s="7" t="inlineStr"/>
      <c r="F260" t="inlineStr">
        <is>
          <t>K</t>
        </is>
      </c>
    </row>
    <row r="261">
      <c r="A261" s="7" t="inlineStr">
        <is>
          <t>K4</t>
        </is>
      </c>
      <c r="B261" s="7" t="inlineStr">
        <is>
          <t>Makanan sejuk diangkut pada -1°C hingga 10°C dan makanan beku pada -18°C dengan unit penyejuk, tanpa gangguan rantaian sejuk.</t>
        </is>
      </c>
      <c r="C261" s="7" t="inlineStr">
        <is>
          <t>PKM per. 56(4), 56(5)</t>
        </is>
      </c>
      <c r="D261" s="7" t="inlineStr"/>
      <c r="E261" s="7" t="inlineStr"/>
      <c r="F261" t="inlineStr">
        <is>
          <t>K</t>
        </is>
      </c>
    </row>
    <row r="262">
      <c r="A262" s="7" t="inlineStr">
        <is>
          <t>K5</t>
        </is>
      </c>
      <c r="B262" s="7" t="inlineStr">
        <is>
          <t>Pengangkutan pihak ketiga (bekalan bahan, katering, penghantaran) mempunyai kontrak atau perjanjian bertulis, dan keutamaan diberi kepada penyedia yang memegang SPHM.</t>
        </is>
      </c>
      <c r="C262" s="7" t="inlineStr">
        <is>
          <t>MPPHM 17(7)(d)</t>
        </is>
      </c>
      <c r="D262" s="7" t="inlineStr"/>
      <c r="E262" s="7" t="inlineStr"/>
      <c r="F262" t="inlineStr">
        <is>
          <t>K</t>
        </is>
      </c>
    </row>
    <row r="263">
      <c r="A263" s="7" t="inlineStr">
        <is>
          <t>K6</t>
        </is>
      </c>
      <c r="B263" s="7" t="inlineStr">
        <is>
          <t>Penghantaran dari dapur pusat ke outlet (rangkaian atau kiosk) menggunakan bekas yang tertutup dan berlabel, dan setiap penghantaran direkodkan untuk tujuan kebolehkesanan.</t>
        </is>
      </c>
      <c r="C263" s="7" t="inlineStr">
        <is>
          <t>MPPHM 17(7)(c); PKM per. 10(1)</t>
        </is>
      </c>
      <c r="D263" s="7" t="inlineStr"/>
      <c r="E263" s="7" t="inlineStr"/>
      <c r="F263" t="inlineStr">
        <is>
          <t>K</t>
        </is>
      </c>
    </row>
    <row r="264">
      <c r="A264" s="7" t="inlineStr">
        <is>
          <t>K7</t>
        </is>
      </c>
      <c r="B264" s="7" t="inlineStr">
        <is>
          <t>Makanan untuk penghantar pihak ketiga (rider platform penghantaran) dibungkus tertutup atau dimeterai sebelum diserahkan.</t>
        </is>
      </c>
      <c r="C264" s="7" t="inlineStr">
        <is>
          <t>MPPHM 17(7)(c); PKM per. 36(1)</t>
        </is>
      </c>
      <c r="D264" s="7" t="inlineStr"/>
      <c r="E264" s="7" t="inlineStr"/>
      <c r="F264" t="inlineStr">
        <is>
          <t>K</t>
        </is>
      </c>
    </row>
    <row r="265">
      <c r="A265" s="7" t="inlineStr">
        <is>
          <t>K8</t>
        </is>
      </c>
      <c r="B265" s="7" t="inlineStr">
        <is>
          <t>Penghantar pihak ketiga (rider) tidak masuk ke dapur atau kawasan penyediaan, dan beg penghantaran mereka tidak diletakkan di atas permukaan penyediaan atau di kaunter makanan terbuka.</t>
        </is>
      </c>
      <c r="C265" s="7" t="inlineStr">
        <is>
          <t>MPPHM 17(3)(b), 17(3)(c)</t>
        </is>
      </c>
      <c r="D265" s="7" t="inlineStr"/>
      <c r="E265" s="7" t="inlineStr"/>
      <c r="F265" t="inlineStr">
        <is>
          <t>K</t>
        </is>
      </c>
    </row>
    <row r="266">
      <c r="A266" s="7" t="inlineStr">
        <is>
          <t>K9</t>
        </is>
      </c>
      <c r="B266" s="7" t="inlineStr">
        <is>
          <t>Beg dan kotak penghantaran milik premis bersih dan tidak digunakan untuk membawa bahan tidak halal.</t>
        </is>
      </c>
      <c r="C266" s="7" t="inlineStr">
        <is>
          <t>MPPHM 17(7)(a), 17(7)(c); PKM per. 56(1)</t>
        </is>
      </c>
      <c r="D266" s="7" t="inlineStr"/>
      <c r="E266" s="7" t="inlineStr"/>
      <c r="F266" t="inlineStr">
        <is>
          <t>K</t>
        </is>
      </c>
    </row>
    <row r="267">
      <c r="A267" s="7" t="inlineStr">
        <is>
          <t>K10</t>
        </is>
      </c>
      <c r="B267" s="7" t="inlineStr">
        <is>
          <t>Daging segar (jika diangkut) dibawa dalam keadaan tergantung atau di atas rak.</t>
        </is>
      </c>
      <c r="C267" s="7" t="inlineStr">
        <is>
          <t>PKM per. 40(1)</t>
        </is>
      </c>
      <c r="D267" s="7" t="inlineStr"/>
      <c r="E267" s="7" t="inlineStr"/>
      <c r="F267" t="inlineStr">
        <is>
          <t>K</t>
        </is>
      </c>
    </row>
    <row r="268">
      <c r="A268" s="7" t="inlineStr">
        <is>
          <t>K11</t>
        </is>
      </c>
      <c r="B268" s="7" t="inlineStr">
        <is>
          <t>Ikan (jika diangkut): ikan segar dikekalkan pada suhu hampir ais cair dan ikan beku di bawah -18°C, dan air cair tidak bersentuhan dengan ikan.</t>
        </is>
      </c>
      <c r="C268" s="7" t="inlineStr">
        <is>
          <t>PKM per. 46</t>
        </is>
      </c>
      <c r="D268" s="7" t="inlineStr"/>
      <c r="E268" s="7" t="inlineStr"/>
      <c r="F268" t="inlineStr">
        <is>
          <t>K</t>
        </is>
      </c>
    </row>
    <row r="269">
      <c r="A269" s="7" t="inlineStr">
        <is>
          <t>K12</t>
        </is>
      </c>
      <c r="B269" s="7" t="inlineStr">
        <is>
          <t>Ais (jika premis mengangkut ais sendiri, cth. katering atau premis bergerak): diangkut dalam kenderaan yang terlindung, di dalam bekas yang bersih, bertebat dan bertutup, dan tidak diletakkan di atas jalan atau kaki lima.</t>
        </is>
      </c>
      <c r="C269" s="7" t="inlineStr">
        <is>
          <t>PKM per. 52(1)</t>
        </is>
      </c>
      <c r="D269" s="7" t="inlineStr"/>
      <c r="E269" s="7" t="inlineStr"/>
      <c r="F269" t="inlineStr">
        <is>
          <t>K</t>
        </is>
      </c>
    </row>
    <row r="270">
      <c r="A270" s="7" t="inlineStr">
        <is>
          <t>K13</t>
        </is>
      </c>
      <c r="B270" s="7" t="inlineStr">
        <is>
          <t>Katering: makanan majlis disediakan di dapur yang memegang SPHM dan dibawa dalam bekas tertutup, dan makanan panas dikekalkan melebihi 60°C di lokasi majlis.</t>
        </is>
      </c>
      <c r="C270" s="7" t="inlineStr">
        <is>
          <t>MPPHM 18(4)(j)(iv); PKM per. 36(1)(m)</t>
        </is>
      </c>
      <c r="D270" s="7" t="inlineStr"/>
      <c r="E270" s="7" t="inlineStr"/>
      <c r="F270" t="inlineStr">
        <is>
          <t>K</t>
        </is>
      </c>
    </row>
    <row r="271">
      <c r="A271" s="7" t="inlineStr">
        <is>
          <t>K14</t>
        </is>
      </c>
      <c r="B271" s="7" t="inlineStr">
        <is>
          <t>Katering: di lokasi majlis, hidangan, pinggan mangkuk dan perkakas katering tidak bercampur dengan makanan atau minuman tidak halal daripada pihak lain.</t>
        </is>
      </c>
      <c r="C271" s="7" t="inlineStr">
        <is>
          <t>MPPHM 17(3)(b), 17(5)(a)</t>
        </is>
      </c>
      <c r="D271" s="7" t="inlineStr"/>
      <c r="E271" s="7" t="inlineStr"/>
      <c r="F271" t="inlineStr">
        <is>
          <t>K</t>
        </is>
      </c>
    </row>
    <row r="272">
      <c r="A272" s="7" t="inlineStr">
        <is>
          <t>K15</t>
        </is>
      </c>
      <c r="B272" s="7" t="inlineStr">
        <is>
          <t>Katering: sumber peralatan dan pinggan mangkuk sewaan disahkan, dan peralatan itu bersih serta digunakan untuk makanan halal sahaja.</t>
        </is>
      </c>
      <c r="C272" s="7" t="inlineStr">
        <is>
          <t>MPPHM 17(5)(a), 17(5)(d)</t>
        </is>
      </c>
      <c r="D272" s="7" t="inlineStr"/>
      <c r="E272" s="7" t="inlineStr"/>
      <c r="F272" t="inlineStr">
        <is>
          <t>K</t>
        </is>
      </c>
    </row>
    <row r="273">
      <c r="A273" s="7" t="inlineStr">
        <is>
          <t>K16</t>
        </is>
      </c>
      <c r="B273" s="7" t="inlineStr">
        <is>
          <t>Premis bergerak: semua penyediaan dibuat di dalam unit bergerak atau di dapur pusat yang memegang SPHM, tanpa penyediaan di lokasi lain.</t>
        </is>
      </c>
      <c r="C273" s="7" t="inlineStr">
        <is>
          <t>MPPHM 18(4)(j)(v), 18(4)(e)</t>
        </is>
      </c>
      <c r="D273" s="7" t="inlineStr"/>
      <c r="E273" s="7" t="inlineStr"/>
      <c r="F273" t="inlineStr">
        <is>
          <t>K</t>
        </is>
      </c>
    </row>
    <row r="274">
      <c r="A274" s="7" t="inlineStr">
        <is>
          <t>K17</t>
        </is>
      </c>
      <c r="B274" s="7" t="inlineStr">
        <is>
          <t>Premis bergerak: stor khusus untuk bahan dan peralatan disediakan (jika penyediaan dibuat sepenuhnya di dalam unit bergerak).</t>
        </is>
      </c>
      <c r="C274" s="7" t="inlineStr">
        <is>
          <t>MPPHM 18(4)(j)(v)</t>
        </is>
      </c>
      <c r="D274" s="7" t="inlineStr"/>
      <c r="E274" s="7" t="inlineStr"/>
      <c r="F274" t="inlineStr">
        <is>
          <t>K</t>
        </is>
      </c>
    </row>
    <row r="275">
      <c r="A275" s="7" t="inlineStr">
        <is>
          <t>K18</t>
        </is>
      </c>
      <c r="B275" s="7" t="inlineStr">
        <is>
          <t>Premis bergerak: beroperasi hanya di lokasi yang ditetapkan pihak berkuasa, dan rekod lokasi operasi disimpan.</t>
        </is>
      </c>
      <c r="C275" s="7" t="inlineStr">
        <is>
          <t>MPPHM 18(4)(j)(v)</t>
        </is>
      </c>
      <c r="D275" s="7" t="inlineStr"/>
      <c r="E275" s="7" t="inlineStr"/>
      <c r="F275" t="inlineStr">
        <is>
          <t>K</t>
        </is>
      </c>
    </row>
    <row r="276">
      <c r="A276" s="7" t="inlineStr">
        <is>
          <t>K19</t>
        </is>
      </c>
      <c r="B276" s="7" t="inlineStr">
        <is>
          <t>Kenderaan yang tercemar najis mughallazah telah disertu, dengan rekod.</t>
        </is>
      </c>
      <c r="C276" s="7" t="inlineStr">
        <is>
          <t>MPPHM 17(7)(f); MS 1500 Lampiran A*</t>
        </is>
      </c>
      <c r="D276" s="7" t="inlineStr"/>
      <c r="E276" s="7" t="inlineStr"/>
      <c r="F276" t="inlineStr">
        <is>
          <t>K</t>
        </is>
      </c>
    </row>
    <row r="277">
      <c r="A277" s="4" t="inlineStr">
        <is>
          <t>Bahagian L: Pembungkusan, Pelabelan &amp; Makanan Pra-bungkus</t>
        </is>
      </c>
      <c r="B277" s="5" t="n"/>
      <c r="C277" s="5" t="n"/>
      <c r="D277" s="5" t="n"/>
      <c r="E277" s="6" t="n"/>
    </row>
    <row r="278" ht="26" customHeight="1">
      <c r="A278" s="2" t="inlineStr">
        <is>
          <t>Periksa bahan bungkusan untuk bawa pulang dan penghantaran, serta label makanan pra-bungkus yang dijual di premis (cth. kek, roti, biskut, sos atau sambal botol).</t>
        </is>
      </c>
    </row>
    <row r="279">
      <c r="A279" s="7" t="inlineStr">
        <is>
          <t>L1</t>
        </is>
      </c>
      <c r="B279" s="7" t="inlineStr">
        <is>
          <t>Bahan pembungkusan (bekas, plastik, kotak kek, kertas pembalut, straw) halal, selamat, cukup kukuh untuk melindungi makanan, dan tidak memindahkan bahan toksik atau pencemar kepada makanan.</t>
        </is>
      </c>
      <c r="C279" s="7" t="inlineStr">
        <is>
          <t>MPPHM 17(6)(a); PM 1985 per. 27; PKM per. 36(1); MS 1500 kl. 4.7*</t>
        </is>
      </c>
      <c r="D279" s="7" t="inlineStr"/>
      <c r="E279" s="7" t="inlineStr"/>
      <c r="F279" t="inlineStr">
        <is>
          <t>L</t>
        </is>
      </c>
    </row>
    <row r="280">
      <c r="A280" s="7" t="inlineStr">
        <is>
          <t>L2</t>
        </is>
      </c>
      <c r="B280" s="7" t="inlineStr">
        <is>
          <t>Bekas atau bungkusan yang pernah digunakan untuk barang bukan makanan tidak digunakan untuk makanan.</t>
        </is>
      </c>
      <c r="C280" s="7" t="inlineStr">
        <is>
          <t>PM 1985 per. 31</t>
        </is>
      </c>
      <c r="D280" s="7" t="inlineStr"/>
      <c r="E280" s="7" t="inlineStr"/>
      <c r="F280" t="inlineStr">
        <is>
          <t>L</t>
        </is>
      </c>
    </row>
    <row r="281">
      <c r="A281" s="7" t="inlineStr">
        <is>
          <t>L3</t>
        </is>
      </c>
      <c r="B281" s="7" t="inlineStr">
        <is>
          <t>Bungkusan bekas produk asal babi, botol minuman beralkohol, botol plastik, guni gula atau tepung, dan bekas minyak masak tidak digunakan semula untuk makanan.</t>
        </is>
      </c>
      <c r="C281" s="7" t="inlineStr">
        <is>
          <t>PM 1985 per. 32</t>
        </is>
      </c>
      <c r="D281" s="7" t="inlineStr"/>
      <c r="E281" s="7" t="inlineStr"/>
      <c r="F281" t="inlineStr">
        <is>
          <t>L</t>
        </is>
      </c>
    </row>
    <row r="282">
      <c r="A282" s="7" t="inlineStr">
        <is>
          <t>L4</t>
        </is>
      </c>
      <c r="B282" s="7" t="inlineStr">
        <is>
          <t>Bungkusan dan kotak bercetak tidak memaparkan nama Allah, ayat al-Quran, istilah keagamaan, gambar haiwan najis mughallazah atau unsur negatif.</t>
        </is>
      </c>
      <c r="C282" s="7" t="inlineStr">
        <is>
          <t>MPPHM 17(6)(b), 17(6)(c), 17(6)(d)</t>
        </is>
      </c>
      <c r="D282" s="7" t="inlineStr"/>
      <c r="E282" s="7" t="inlineStr"/>
      <c r="F282" t="inlineStr">
        <is>
          <t>L</t>
        </is>
      </c>
    </row>
    <row r="283">
      <c r="A283" s="7" t="inlineStr">
        <is>
          <t>L5</t>
        </is>
      </c>
      <c r="B283" s="7" t="inlineStr">
        <is>
          <t>Makanan pra-bungkus (jika dijual): label sepadan dengan perisytiharan dalam MYeHALAL (nama makanan dan ramuan).</t>
        </is>
      </c>
      <c r="C283" s="7" t="inlineStr">
        <is>
          <t>MPPHM 17(6)(e)</t>
        </is>
      </c>
      <c r="D283" s="7" t="inlineStr"/>
      <c r="E283" s="7" t="inlineStr"/>
      <c r="F283" t="inlineStr">
        <is>
          <t>L</t>
        </is>
      </c>
    </row>
    <row r="284">
      <c r="A284" s="7" t="inlineStr">
        <is>
          <t>L6</t>
        </is>
      </c>
      <c r="B284" s="7" t="inlineStr">
        <is>
          <t>Makanan pra-bungkus (jika dijual): label dicetak dengan jelas dan kekal dalam Bahasa Melayu (terjemahan dibenarkan).</t>
        </is>
      </c>
      <c r="C284" s="7" t="inlineStr">
        <is>
          <t>MPPHM 17(6)(f), 17(6)(i); PM 1985 per. 10, 12</t>
        </is>
      </c>
      <c r="D284" s="7" t="inlineStr"/>
      <c r="E284" s="7" t="inlineStr"/>
      <c r="F284" t="inlineStr">
        <is>
          <t>L</t>
        </is>
      </c>
    </row>
    <row r="285">
      <c r="A285" s="7" t="inlineStr">
        <is>
          <t>L7</t>
        </is>
      </c>
      <c r="B285" s="7" t="inlineStr">
        <is>
          <t>Makanan pra-bungkus (jika Logo Halal Malaysia dicetak pada label): label menunjukkan nama makanan, nama dan alamat pemegang SPHM, serta Logo Halal Malaysia bersama nombor MS dan 10 digit terakhir nombor rujukan fail. Logo hanya digunakan bagi makanan yang diluluskan dalam MYeHALAL dan tidak diubah bentuk, warna atau perkadarannya.</t>
        </is>
      </c>
      <c r="C285" s="7" t="inlineStr">
        <is>
          <t>MPPHM 17(6)(j), 41; MS 1500 kl. 7*; Perintah Perakuan &amp; Penandaan Halal 2011 perenggan 4(1), 6</t>
        </is>
      </c>
      <c r="D285" s="7" t="inlineStr"/>
      <c r="E285" s="7" t="inlineStr"/>
      <c r="F285" t="inlineStr">
        <is>
          <t>L</t>
        </is>
      </c>
    </row>
    <row r="286">
      <c r="A286" s="7" t="inlineStr">
        <is>
          <t>L8</t>
        </is>
      </c>
      <c r="B286" s="7" t="inlineStr">
        <is>
          <t>Makanan pra-bungkus (jika dijual): label mengandungi butiran wajib: nama makanan, senarai ramuan mengikut tertib berat menurun, bahan alergen, sumber lemak atau minyak (haiwan atau sayuran), bahan tambah, kandungan bersih, serta nama dan alamat pengilang atau pembungkus.</t>
        </is>
      </c>
      <c r="C286" s="7" t="inlineStr">
        <is>
          <t>PM 1985 per. 11(1)</t>
        </is>
      </c>
      <c r="D286" s="7" t="inlineStr"/>
      <c r="E286" s="7" t="inlineStr"/>
      <c r="F286" t="inlineStr">
        <is>
          <t>L</t>
        </is>
      </c>
    </row>
    <row r="287">
      <c r="A287" s="7" t="inlineStr">
        <is>
          <t>L9</t>
        </is>
      </c>
      <c r="B287" s="7" t="inlineStr">
        <is>
          <t>Makanan pra-bungkus (jika dijual): pernyataan 'MENGANDUNGI DAGING LEMBU' (atau derivatifnya) dinyatakan jika berkaitan, dan tiada produk yang memerlukan pernyataan 'MENGANDUNGI BABI/LEMAK BABI' atau 'MENGANDUNGI ALKOHOL'.</t>
        </is>
      </c>
      <c r="C287" s="7" t="inlineStr">
        <is>
          <t>PM 1985 per. 11(1)(c), 11(1)(d); MPPHM 6(1)</t>
        </is>
      </c>
      <c r="D287" s="7" t="inlineStr"/>
      <c r="E287" s="7" t="inlineStr"/>
      <c r="F287" t="inlineStr">
        <is>
          <t>L</t>
        </is>
      </c>
    </row>
    <row r="288">
      <c r="A288" s="7" t="inlineStr">
        <is>
          <t>L10</t>
        </is>
      </c>
      <c r="B288" s="7" t="inlineStr">
        <is>
          <t>Makanan pra-bungkus (jika dijual): penandaan tarikh (tarikh luput, guna sebelum atau baik sebelum) dibuat bagi makanan yang ditetapkan.</t>
        </is>
      </c>
      <c r="C288" s="7" t="inlineStr">
        <is>
          <t>PM 1985 per. 14</t>
        </is>
      </c>
      <c r="D288" s="7" t="inlineStr"/>
      <c r="E288" s="7" t="inlineStr"/>
      <c r="F288" t="inlineStr">
        <is>
          <t>L</t>
        </is>
      </c>
    </row>
    <row r="289">
      <c r="A289" s="7" t="inlineStr">
        <is>
          <t>L11</t>
        </is>
      </c>
      <c r="B289" s="7" t="inlineStr">
        <is>
          <t>Makanan yang dibungkus di premis untuk jualan runcit dilabel mengikut PM 1985. Pengecualian hanya terpakai bagi makanan yang ditimbang atau disukat di hadapan pembeli, atau makanan masak mudah rosak yang dibungkus atas permintaan.</t>
        </is>
      </c>
      <c r="C289" s="7" t="inlineStr">
        <is>
          <t>PM 1985 per. 16, 17(3)</t>
        </is>
      </c>
      <c r="D289" s="7" t="inlineStr"/>
      <c r="E289" s="7" t="inlineStr"/>
      <c r="F289" t="inlineStr">
        <is>
          <t>L</t>
        </is>
      </c>
    </row>
    <row r="290">
      <c r="A290" s="7" t="inlineStr">
        <is>
          <t>L12</t>
        </is>
      </c>
      <c r="B290" s="7" t="inlineStr">
        <is>
          <t>Makanan pra-bungkus (jika dijual): label tidak mengandungi tuntutan yang dilarang atau mengelirukan.</t>
        </is>
      </c>
      <c r="C290" s="7" t="inlineStr">
        <is>
          <t>PM 1985 per. 18, 18A; Akta Makanan 1983 s. 16; MPPHM 17(6)(g)</t>
        </is>
      </c>
      <c r="D290" s="7" t="inlineStr"/>
      <c r="E290" s="7" t="inlineStr"/>
      <c r="F290" t="inlineStr">
        <is>
          <t>L</t>
        </is>
      </c>
    </row>
    <row r="291">
      <c r="A291" s="7" t="inlineStr">
        <is>
          <t>L13</t>
        </is>
      </c>
      <c r="B291" s="7" t="inlineStr">
        <is>
          <t>Makanan pra-bungkus (jika dijual): berat atau isipadu sebenar sama dengan yang dinyatakan pada label.</t>
        </is>
      </c>
      <c r="C291" s="7" t="inlineStr">
        <is>
          <t>MPPHM 17(2)(f)</t>
        </is>
      </c>
      <c r="D291" s="7" t="inlineStr"/>
      <c r="E291" s="7" t="inlineStr"/>
      <c r="F291" t="inlineStr">
        <is>
          <t>L</t>
        </is>
      </c>
    </row>
    <row r="292">
      <c r="A292" s="4" t="inlineStr">
        <is>
          <t>Bahagian M: Dokumentasi &amp; Rekod</t>
        </is>
      </c>
      <c r="B292" s="5" t="n"/>
      <c r="C292" s="5" t="n"/>
      <c r="D292" s="5" t="n"/>
      <c r="E292" s="6" t="n"/>
    </row>
    <row r="293" ht="26" customHeight="1">
      <c r="A293" s="2" t="inlineStr">
        <is>
          <t>Semak fail dokumentasi dan rekod di premis atau di pejabat pengurusan berpusat, dan padankan dengan pemerhatian di lapangan.</t>
        </is>
      </c>
    </row>
    <row r="294">
      <c r="A294" s="7" t="inlineStr">
        <is>
          <t>M1</t>
        </is>
      </c>
      <c r="B294" s="7" t="inlineStr">
        <is>
          <t>Dokumen dikemas kini dan mudah dicapai: fail permohonan MYeHALAL, fail MHMS (HAS atau IHCS), sijil, rekod pekerja, latihan, pembelian bahan, kawalan perosak dan penyediaan, serta laporan audit terdahulu.</t>
        </is>
      </c>
      <c r="C294" s="7" t="inlineStr">
        <is>
          <t>MPPHM 17(14)(a), 17(14)(b); MHMS 5(13) (Dokumentasi dan Rekod)</t>
        </is>
      </c>
      <c r="D294" s="7" t="inlineStr"/>
      <c r="E294" s="7" t="inlineStr"/>
      <c r="F294" t="inlineStr">
        <is>
          <t>M</t>
        </is>
      </c>
    </row>
    <row r="295">
      <c r="A295" s="7" t="inlineStr">
        <is>
          <t>M2</t>
        </is>
      </c>
      <c r="B295" s="7" t="inlineStr">
        <is>
          <t>Rekod disimpan sekurang-kurangnya 3 tahun, dan pemohon baharu mempunyai rekod sekurang-kurangnya 3 bulan.</t>
        </is>
      </c>
      <c r="C295" s="7" t="inlineStr">
        <is>
          <t>MPPHM 17(14)(c), 17(14)(d); MHMS 5(13)</t>
        </is>
      </c>
      <c r="D295" s="7" t="inlineStr"/>
      <c r="E295" s="7" t="inlineStr"/>
      <c r="F295" t="inlineStr">
        <is>
          <t>M</t>
        </is>
      </c>
    </row>
    <row r="296">
      <c r="A296" s="7" t="inlineStr">
        <is>
          <t>M3</t>
        </is>
      </c>
      <c r="B296" s="7" t="inlineStr">
        <is>
          <t>Rekod latihan, pemeriksaan perubatan dan suntikan bagi semua pengendali makanan disimpan untuk pemeriksaan.</t>
        </is>
      </c>
      <c r="C296" s="7" t="inlineStr">
        <is>
          <t>PKM per. 11(1)</t>
        </is>
      </c>
      <c r="D296" s="7" t="inlineStr"/>
      <c r="E296" s="7" t="inlineStr"/>
      <c r="F296" t="inlineStr">
        <is>
          <t>M</t>
        </is>
      </c>
    </row>
    <row r="297">
      <c r="A297" s="7" t="inlineStr">
        <is>
          <t>M4</t>
        </is>
      </c>
      <c r="B297" s="7" t="inlineStr">
        <is>
          <t>Rekod pembersihan, penyediaan, penyimpanan (termasuk suhu) dan pengedaran makanan disimpan untuk pemeriksaan.</t>
        </is>
      </c>
      <c r="C297" s="7" t="inlineStr">
        <is>
          <t>PKM per. 11(1)</t>
        </is>
      </c>
      <c r="D297" s="7" t="inlineStr"/>
      <c r="E297" s="7" t="inlineStr"/>
      <c r="F297" t="inlineStr">
        <is>
          <t>M</t>
        </is>
      </c>
    </row>
    <row r="298">
      <c r="A298" s="7" t="inlineStr">
        <is>
          <t>M5</t>
        </is>
      </c>
      <c r="B298" s="7" t="inlineStr">
        <is>
          <t>Sistem kebolehkesanan membolehkan bahan dikesan satu langkah ke belakang (pembekal) dan satu langkah ke hadapan (pelanggan, outlet atau majlis katering).</t>
        </is>
      </c>
      <c r="C298" s="7" t="inlineStr">
        <is>
          <t>PKM per. 10(1); MHMS 5(9), 6</t>
        </is>
      </c>
      <c r="D298" s="7" t="inlineStr"/>
      <c r="E298" s="7" t="inlineStr"/>
      <c r="F298" t="inlineStr">
        <is>
          <t>M</t>
        </is>
      </c>
    </row>
    <row r="299">
      <c r="A299" s="7" t="inlineStr">
        <is>
          <t>M6</t>
        </is>
      </c>
      <c r="B299" s="7" t="inlineStr">
        <is>
          <t>Rekod pembelian (invois atau nota hantaran) sepadan dengan pembekal dalam senarai induk, dan sijil halal bahan masih sah pada tarikh pembelian.</t>
        </is>
      </c>
      <c r="C299" s="7" t="inlineStr">
        <is>
          <t>MPPHM 17(14)(b); MHMS 5(7)</t>
        </is>
      </c>
      <c r="D299" s="7" t="inlineStr"/>
      <c r="E299" s="7" t="inlineStr"/>
      <c r="F299" t="inlineStr">
        <is>
          <t>M</t>
        </is>
      </c>
    </row>
    <row r="300">
      <c r="A300" s="7" t="inlineStr">
        <is>
          <t>M7</t>
        </is>
      </c>
      <c r="B300" s="7" t="inlineStr">
        <is>
          <t>Laporan audit pensijilan halal terdahulu tersedia, dan setiap ketidakakuran telah ditutup dengan tindakan pembetulan.</t>
        </is>
      </c>
      <c r="C300" s="7" t="inlineStr">
        <is>
          <t>MPPHM 17(14)(b)</t>
        </is>
      </c>
      <c r="D300" s="7" t="inlineStr"/>
      <c r="E300" s="7" t="inlineStr"/>
      <c r="F300" t="inlineStr">
        <is>
          <t>M</t>
        </is>
      </c>
    </row>
    <row r="301">
      <c r="A301" s="7" t="inlineStr">
        <is>
          <t>M8</t>
        </is>
      </c>
      <c r="B301" s="7" t="inlineStr">
        <is>
          <t>Rekod pemeriksaan KKM atau PBT, notis atau arahan yang diterima (cth. arahan pembersihan atau penutupan premis) dan tindakan pembetulan disimpan.</t>
        </is>
      </c>
      <c r="C301" s="7" t="inlineStr">
        <is>
          <t>Akta Makanan 1983 s. 10, 11</t>
        </is>
      </c>
      <c r="D301" s="7" t="inlineStr"/>
      <c r="E301" s="7" t="inlineStr"/>
      <c r="F301" t="inlineStr">
        <is>
          <t>M</t>
        </is>
      </c>
    </row>
  </sheetData>
  <mergeCells count="27">
    <mergeCell ref="A30:E30"/>
    <mergeCell ref="A77:E77"/>
    <mergeCell ref="A257:E257"/>
    <mergeCell ref="A98:E98"/>
    <mergeCell ref="A169:E169"/>
    <mergeCell ref="A6:E6"/>
    <mergeCell ref="A228:E228"/>
    <mergeCell ref="A124:E124"/>
    <mergeCell ref="A196:E196"/>
    <mergeCell ref="A256:E256"/>
    <mergeCell ref="A7:E7"/>
    <mergeCell ref="A292:E292"/>
    <mergeCell ref="A277:E277"/>
    <mergeCell ref="A3:E3"/>
    <mergeCell ref="A214:E214"/>
    <mergeCell ref="A195:E195"/>
    <mergeCell ref="A278:E278"/>
    <mergeCell ref="A76:E76"/>
    <mergeCell ref="A151:E151"/>
    <mergeCell ref="A97:E97"/>
    <mergeCell ref="A150:E150"/>
    <mergeCell ref="A215:E215"/>
    <mergeCell ref="A29:E29"/>
    <mergeCell ref="A125:E125"/>
    <mergeCell ref="A170:E170"/>
    <mergeCell ref="A293:E293"/>
    <mergeCell ref="A229:E229"/>
  </mergeCells>
  <conditionalFormatting sqref="D6:D301">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28 D31 D32 D33 D34 D35 D36 D37 D38 D39 D40 D41 D42 D43 D44 D45 D46 D47 D48 D49 D50 D51 D52 D53 D54 D55 D56 D57 D58 D59 D60 D61 D62 D63 D64 D65 D66 D67 D68 D69 D70 D71 D72 D73 D74 D75 D78 D79 D80 D81 D82 D83 D84 D85 D86 D87 D88 D89 D90 D91 D92 D93 D94 D95 D96 D99 D100 D101 D102 D103 D104 D105 D106 D107 D108 D109 D110 D111 D112 D113 D114 D115 D116 D117 D118 D119 D120 D121 D122 D123 D126 D127 D128 D129 D130 D131 D132 D133 D134 D135 D136 D137 D138 D139 D140 D141 D142 D143 D144 D145 D146 D147 D148 D149 D152 D153 D154 D155 D156 D157 D158 D159 D160 D161 D162 D163 D164 D165 D166 D167 D168 D171 D172 D173 D174 D175 D176 D177 D178 D179 D180 D181 D182 D183 D184 D185 D186 D187 D188 D189 D190 D191 D192 D193 D194 D197 D198 D199 D200 D201 D202 D203 D204 D205 D206 D207 D208 D209 D210 D211 D212 D213 D216 D217 D218 D219 D220 D221 D222 D223 D224 D225 D226 D227 D230 D231 D232 D233 D234 D235 D236 D237 D238 D239 D240 D241 D242 D243 D244 D245 D246 D247 D248 D249 D250 D251 D252 D253 D254 D255 D258 D259 D260 D261 D262 D263 D264 D265 D266 D267 D268 D269 D270 D271 D272 D273 D274 D275 D276 D279 D280 D281 D282 D283 D284 D285 D286 D287 D288 D289 D290 D291 D294 D295 D296 D297 D298 D299 D300 D301"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7"/>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Premis Makanan</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&amp; Skop Permohonan</t>
        </is>
      </c>
      <c r="B4" t="n">
        <v>21</v>
      </c>
      <c r="C4">
        <f>COUNTIFS('Senarai Semak'!$F$6:$F$301,"A",'Senarai Semak'!$D$6:$D$301,"Ya")</f>
        <v/>
      </c>
      <c r="D4">
        <f>COUNTIFS('Senarai Semak'!$F$6:$F$301,"A",'Senarai Semak'!$D$6:$D$301,"Tidak")</f>
        <v/>
      </c>
      <c r="E4">
        <f>COUNTIFS('Senarai Semak'!$F$6:$F$301,"A",'Senarai Semak'!$D$6:$D$301,"TB")</f>
        <v/>
      </c>
      <c r="F4">
        <f>B4-C4-D4-E4</f>
        <v/>
      </c>
      <c r="G4" s="10">
        <f>IF(C4+D4=0,"",C4/(C4+D4))</f>
        <v/>
      </c>
    </row>
    <row r="5">
      <c r="A5" t="inlineStr">
        <is>
          <t>B: Pengurusan Halal &amp; MHMS mengikut Jenis Premis</t>
        </is>
      </c>
      <c r="B5" t="n">
        <v>45</v>
      </c>
      <c r="C5">
        <f>COUNTIFS('Senarai Semak'!$F$6:$F$301,"B",'Senarai Semak'!$D$6:$D$301,"Ya")</f>
        <v/>
      </c>
      <c r="D5">
        <f>COUNTIFS('Senarai Semak'!$F$6:$F$301,"B",'Senarai Semak'!$D$6:$D$301,"Tidak")</f>
        <v/>
      </c>
      <c r="E5">
        <f>COUNTIFS('Senarai Semak'!$F$6:$F$301,"B",'Senarai Semak'!$D$6:$D$301,"TB")</f>
        <v/>
      </c>
      <c r="F5">
        <f>B5-C5-D5-E5</f>
        <v/>
      </c>
      <c r="G5" s="10">
        <f>IF(C5+D5=0,"",C5/(C5+D5))</f>
        <v/>
      </c>
    </row>
    <row r="6">
      <c r="A6" t="inlineStr">
        <is>
          <t>C: Paparan Halal, Menu &amp; Ruang Pelanggan</t>
        </is>
      </c>
      <c r="B6" t="n">
        <v>19</v>
      </c>
      <c r="C6">
        <f>COUNTIFS('Senarai Semak'!$F$6:$F$301,"C",'Senarai Semak'!$D$6:$D$301,"Ya")</f>
        <v/>
      </c>
      <c r="D6">
        <f>COUNTIFS('Senarai Semak'!$F$6:$F$301,"C",'Senarai Semak'!$D$6:$D$301,"Tidak")</f>
        <v/>
      </c>
      <c r="E6">
        <f>COUNTIFS('Senarai Semak'!$F$6:$F$301,"C",'Senarai Semak'!$D$6:$D$301,"TB")</f>
        <v/>
      </c>
      <c r="F6">
        <f>B6-C6-D6-E6</f>
        <v/>
      </c>
      <c r="G6" s="10">
        <f>IF(C6+D6=0,"",C6/(C6+D6))</f>
        <v/>
      </c>
    </row>
    <row r="7">
      <c r="A7" t="inlineStr">
        <is>
          <t>D: Premis, Struktur &amp; Persekitaran</t>
        </is>
      </c>
      <c r="B7" t="n">
        <v>25</v>
      </c>
      <c r="C7">
        <f>COUNTIFS('Senarai Semak'!$F$6:$F$301,"D",'Senarai Semak'!$D$6:$D$301,"Ya")</f>
        <v/>
      </c>
      <c r="D7">
        <f>COUNTIFS('Senarai Semak'!$F$6:$F$301,"D",'Senarai Semak'!$D$6:$D$301,"Tidak")</f>
        <v/>
      </c>
      <c r="E7">
        <f>COUNTIFS('Senarai Semak'!$F$6:$F$301,"D",'Senarai Semak'!$D$6:$D$301,"TB")</f>
        <v/>
      </c>
      <c r="F7">
        <f>B7-C7-D7-E7</f>
        <v/>
      </c>
      <c r="G7" s="10">
        <f>IF(C7+D7=0,"",C7/(C7+D7))</f>
        <v/>
      </c>
    </row>
    <row r="8">
      <c r="A8" t="inlineStr">
        <is>
          <t>E: Bahan Mentah, Bahan Masakan &amp; Pembekal</t>
        </is>
      </c>
      <c r="B8" t="n">
        <v>24</v>
      </c>
      <c r="C8">
        <f>COUNTIFS('Senarai Semak'!$F$6:$F$301,"E",'Senarai Semak'!$D$6:$D$301,"Ya")</f>
        <v/>
      </c>
      <c r="D8">
        <f>COUNTIFS('Senarai Semak'!$F$6:$F$301,"E",'Senarai Semak'!$D$6:$D$301,"Tidak")</f>
        <v/>
      </c>
      <c r="E8">
        <f>COUNTIFS('Senarai Semak'!$F$6:$F$301,"E",'Senarai Semak'!$D$6:$D$301,"TB")</f>
        <v/>
      </c>
      <c r="F8">
        <f>B8-C8-D8-E8</f>
        <v/>
      </c>
      <c r="G8" s="10">
        <f>IF(C8+D8=0,"",C8/(C8+D8))</f>
        <v/>
      </c>
    </row>
    <row r="9">
      <c r="A9" t="inlineStr">
        <is>
          <t>F: Penyimpanan</t>
        </is>
      </c>
      <c r="B9" t="n">
        <v>17</v>
      </c>
      <c r="C9">
        <f>COUNTIFS('Senarai Semak'!$F$6:$F$301,"F",'Senarai Semak'!$D$6:$D$301,"Ya")</f>
        <v/>
      </c>
      <c r="D9">
        <f>COUNTIFS('Senarai Semak'!$F$6:$F$301,"F",'Senarai Semak'!$D$6:$D$301,"Tidak")</f>
        <v/>
      </c>
      <c r="E9">
        <f>COUNTIFS('Senarai Semak'!$F$6:$F$301,"F",'Senarai Semak'!$D$6:$D$301,"TB")</f>
        <v/>
      </c>
      <c r="F9">
        <f>B9-C9-D9-E9</f>
        <v/>
      </c>
      <c r="G9" s="10">
        <f>IF(C9+D9=0,"",C9/(C9+D9))</f>
        <v/>
      </c>
    </row>
    <row r="10">
      <c r="A10" t="inlineStr">
        <is>
          <t>G: Penyediaan, Masakan &amp; Hidangan</t>
        </is>
      </c>
      <c r="B10" t="n">
        <v>24</v>
      </c>
      <c r="C10">
        <f>COUNTIFS('Senarai Semak'!$F$6:$F$301,"G",'Senarai Semak'!$D$6:$D$301,"Ya")</f>
        <v/>
      </c>
      <c r="D10">
        <f>COUNTIFS('Senarai Semak'!$F$6:$F$301,"G",'Senarai Semak'!$D$6:$D$301,"Tidak")</f>
        <v/>
      </c>
      <c r="E10">
        <f>COUNTIFS('Senarai Semak'!$F$6:$F$301,"G",'Senarai Semak'!$D$6:$D$301,"TB")</f>
        <v/>
      </c>
      <c r="F10">
        <f>B10-C10-D10-E10</f>
        <v/>
      </c>
      <c r="G10" s="10">
        <f>IF(C10+D10=0,"",C10/(C10+D10))</f>
        <v/>
      </c>
    </row>
    <row r="11">
      <c r="A11" t="inlineStr">
        <is>
          <t>H: Peralatan, Perkakas &amp; Bahan Pencuci</t>
        </is>
      </c>
      <c r="B11" t="n">
        <v>17</v>
      </c>
      <c r="C11">
        <f>COUNTIFS('Senarai Semak'!$F$6:$F$301,"H",'Senarai Semak'!$D$6:$D$301,"Ya")</f>
        <v/>
      </c>
      <c r="D11">
        <f>COUNTIFS('Senarai Semak'!$F$6:$F$301,"H",'Senarai Semak'!$D$6:$D$301,"Tidak")</f>
        <v/>
      </c>
      <c r="E11">
        <f>COUNTIFS('Senarai Semak'!$F$6:$F$301,"H",'Senarai Semak'!$D$6:$D$301,"TB")</f>
        <v/>
      </c>
      <c r="F11">
        <f>B11-C11-D11-E11</f>
        <v/>
      </c>
      <c r="G11" s="10">
        <f>IF(C11+D11=0,"",C11/(C11+D11))</f>
        <v/>
      </c>
    </row>
    <row r="12">
      <c r="A12" t="inlineStr">
        <is>
          <t>I: Kebersihan, Sanitasi, Kawalan Perosak &amp; Sisa</t>
        </is>
      </c>
      <c r="B12" t="n">
        <v>12</v>
      </c>
      <c r="C12">
        <f>COUNTIFS('Senarai Semak'!$F$6:$F$301,"I",'Senarai Semak'!$D$6:$D$301,"Ya")</f>
        <v/>
      </c>
      <c r="D12">
        <f>COUNTIFS('Senarai Semak'!$F$6:$F$301,"I",'Senarai Semak'!$D$6:$D$301,"Tidak")</f>
        <v/>
      </c>
      <c r="E12">
        <f>COUNTIFS('Senarai Semak'!$F$6:$F$301,"I",'Senarai Semak'!$D$6:$D$301,"TB")</f>
        <v/>
      </c>
      <c r="F12">
        <f>B12-C12-D12-E12</f>
        <v/>
      </c>
      <c r="G12" s="10">
        <f>IF(C12+D12=0,"",C12/(C12+D12))</f>
        <v/>
      </c>
    </row>
    <row r="13">
      <c r="A13" t="inlineStr">
        <is>
          <t>J: Pekerja, Pengendali Makanan, Latihan &amp; Kemudahan</t>
        </is>
      </c>
      <c r="B13" t="n">
        <v>26</v>
      </c>
      <c r="C13">
        <f>COUNTIFS('Senarai Semak'!$F$6:$F$301,"J",'Senarai Semak'!$D$6:$D$301,"Ya")</f>
        <v/>
      </c>
      <c r="D13">
        <f>COUNTIFS('Senarai Semak'!$F$6:$F$301,"J",'Senarai Semak'!$D$6:$D$301,"Tidak")</f>
        <v/>
      </c>
      <c r="E13">
        <f>COUNTIFS('Senarai Semak'!$F$6:$F$301,"J",'Senarai Semak'!$D$6:$D$301,"TB")</f>
        <v/>
      </c>
      <c r="F13">
        <f>B13-C13-D13-E13</f>
        <v/>
      </c>
      <c r="G13" s="10">
        <f>IF(C13+D13=0,"",C13/(C13+D13))</f>
        <v/>
      </c>
    </row>
    <row r="14">
      <c r="A14" t="inlineStr">
        <is>
          <t>K: Pengangkutan, Penghantaran, Katering &amp; Premis Bergerak</t>
        </is>
      </c>
      <c r="B14" t="n">
        <v>19</v>
      </c>
      <c r="C14">
        <f>COUNTIFS('Senarai Semak'!$F$6:$F$301,"K",'Senarai Semak'!$D$6:$D$301,"Ya")</f>
        <v/>
      </c>
      <c r="D14">
        <f>COUNTIFS('Senarai Semak'!$F$6:$F$301,"K",'Senarai Semak'!$D$6:$D$301,"Tidak")</f>
        <v/>
      </c>
      <c r="E14">
        <f>COUNTIFS('Senarai Semak'!$F$6:$F$301,"K",'Senarai Semak'!$D$6:$D$301,"TB")</f>
        <v/>
      </c>
      <c r="F14">
        <f>B14-C14-D14-E14</f>
        <v/>
      </c>
      <c r="G14" s="10">
        <f>IF(C14+D14=0,"",C14/(C14+D14))</f>
        <v/>
      </c>
    </row>
    <row r="15">
      <c r="A15" t="inlineStr">
        <is>
          <t>L: Pembungkusan, Pelabelan &amp; Makanan Pra-bungkus</t>
        </is>
      </c>
      <c r="B15" t="n">
        <v>13</v>
      </c>
      <c r="C15">
        <f>COUNTIFS('Senarai Semak'!$F$6:$F$301,"L",'Senarai Semak'!$D$6:$D$301,"Ya")</f>
        <v/>
      </c>
      <c r="D15">
        <f>COUNTIFS('Senarai Semak'!$F$6:$F$301,"L",'Senarai Semak'!$D$6:$D$301,"Tidak")</f>
        <v/>
      </c>
      <c r="E15">
        <f>COUNTIFS('Senarai Semak'!$F$6:$F$301,"L",'Senarai Semak'!$D$6:$D$301,"TB")</f>
        <v/>
      </c>
      <c r="F15">
        <f>B15-C15-D15-E15</f>
        <v/>
      </c>
      <c r="G15" s="10">
        <f>IF(C15+D15=0,"",C15/(C15+D15))</f>
        <v/>
      </c>
    </row>
    <row r="16">
      <c r="A16" t="inlineStr">
        <is>
          <t>M: Dokumentasi &amp; Rekod</t>
        </is>
      </c>
      <c r="B16" t="n">
        <v>8</v>
      </c>
      <c r="C16">
        <f>COUNTIFS('Senarai Semak'!$F$6:$F$301,"M",'Senarai Semak'!$D$6:$D$301,"Ya")</f>
        <v/>
      </c>
      <c r="D16">
        <f>COUNTIFS('Senarai Semak'!$F$6:$F$301,"M",'Senarai Semak'!$D$6:$D$301,"Tidak")</f>
        <v/>
      </c>
      <c r="E16">
        <f>COUNTIFS('Senarai Semak'!$F$6:$F$301,"M",'Senarai Semak'!$D$6:$D$301,"TB")</f>
        <v/>
      </c>
      <c r="F16">
        <f>B16-C16-D16-E16</f>
        <v/>
      </c>
      <c r="G16" s="10">
        <f>IF(C16+D16=0,"",C16/(C16+D16))</f>
        <v/>
      </c>
    </row>
    <row r="17">
      <c r="A17" s="11" t="inlineStr">
        <is>
          <t>Jumlah</t>
        </is>
      </c>
      <c r="B17" s="11">
        <f>SUM(B4:B16)</f>
        <v/>
      </c>
      <c r="C17" s="11">
        <f>SUM(C4:C16)</f>
        <v/>
      </c>
      <c r="D17" s="11">
        <f>SUM(D4:D16)</f>
        <v/>
      </c>
      <c r="E17" s="11">
        <f>SUM(E4:E16)</f>
        <v/>
      </c>
      <c r="F17" s="11">
        <f>SUM(F4:F16)</f>
        <v/>
      </c>
      <c r="G17" s="10">
        <f>IF(C17+D17=0,"",C17/(C17+D17))</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1"/>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dibaca untuk s. 1-18 (termasuk 18(4)(a)-(j), Lampiran A dan B). Bagi s. 19-20 dan s. 34-41, hanya tajuk dalam jadual kandungan yang disemak kerana teks badannya tiada dalam salinan yang diekstrak.</t>
        </is>
      </c>
      <c r="D2" s="14" t="inlineStr">
        <is>
          <t>https://jaips.perlis.gov.my/phocadownload/MPPHM%20Domestik%202020%20JAKIM-JAIN.pdf</t>
        </is>
      </c>
    </row>
    <row r="3">
      <c r="A3" s="14" t="inlineStr">
        <is>
          <t>MHMS</t>
        </is>
      </c>
      <c r="B3" s="14" t="inlineStr">
        <is>
          <t>Sistem Pengurusan Halal Malaysia (Malaysian Halal Management System) 2020</t>
        </is>
      </c>
      <c r="C3" s="14" t="inlineStr">
        <is>
          <t>Teks penuh dibaca daripada salinan dokumen rasmi JAKIM di laman pihak ketiga (serunai.com) kerana pautan rasmi dialihkan ke halaman utama. Bahagian yang dibaca: 5(1)-5(13) (HAS), 6 (IHCS) dan 7(2) (Premis Makanan). Rujukan mengikut penomboran yang dicetak dalam manual.</t>
        </is>
      </c>
      <c r="D3" s="14" t="inlineStr">
        <is>
          <t>https://myehalal.halal.gov.my/portal-halal/v1/pdf/panduan/MHMS2020.pdf</t>
        </is>
      </c>
    </row>
    <row r="4">
      <c r="A4" s="14" t="inlineStr">
        <is>
          <t>MS 1500</t>
        </is>
      </c>
      <c r="B4" s="14" t="inlineStr">
        <is>
          <t>MS 1500:2019 Halal food - General requirements (Third revision)</t>
        </is>
      </c>
      <c r="C4" s="14" t="inlineStr">
        <is>
          <t>Pratonton rasmi, tajuk klausa sahaja: 4.1-4.8, 5, 6, 7 dan Lampiran A (sertu). Isi klausa diringkaskan, jadi setiap rujukan diberi tanda *.</t>
        </is>
      </c>
      <c r="D4" s="14" t="inlineStr"/>
    </row>
    <row r="5">
      <c r="A5" s="14" t="inlineStr">
        <is>
          <t>PKM</t>
        </is>
      </c>
      <c r="B5" s="14" t="inlineStr">
        <is>
          <t>Peraturan-Peraturan Kebersihan Makanan 2009 (P.U.(A) 95/2009), di bawah Akta Makanan 1983</t>
        </is>
      </c>
      <c r="C5" s="14" t="inlineStr">
        <is>
          <t>Teks penuh dibaca (FAOLEX), per. 3-56 dan Jadual Pertama. Per. 9 (FSAP, untuk premis pengilangan) tidak dimasukkan.</t>
        </is>
      </c>
      <c r="D5" s="14" t="inlineStr">
        <is>
          <t>https://faolex.fao.org/docs/pdf/mal91581.pdf</t>
        </is>
      </c>
    </row>
    <row r="6">
      <c r="A6" s="14" t="inlineStr">
        <is>
          <t>PM 1985</t>
        </is>
      </c>
      <c r="B6" s="14" t="inlineStr">
        <is>
          <t>Peraturan-Peraturan Makanan 1985 (P.U.(A) 437/1985)</t>
        </is>
      </c>
      <c r="C6" s="14" t="inlineStr">
        <is>
          <t>Teks penuh dibaca (salinan disatukan dengan pindaan) bagi per. 9-35. Hanya peruntukan yang berkaitan premis makanan dipetik.</t>
        </is>
      </c>
      <c r="D6" s="14" t="inlineStr">
        <is>
          <t>https://www.foodipedia.my/food-regulations-1985.pdf</t>
        </is>
      </c>
    </row>
    <row r="7">
      <c r="A7" s="14" t="inlineStr">
        <is>
          <t>Akta Makanan 1983</t>
        </is>
      </c>
      <c r="B7" s="14" t="inlineStr">
        <is>
          <t>Akta Makanan 1983 (Akta 281)</t>
        </is>
      </c>
      <c r="C7" s="14" t="inlineStr">
        <is>
          <t>Teks penuh dibaca (senarai seksyen dan ringkasan s. 10, 11, 13, 13A, 14, 16, 17).</t>
        </is>
      </c>
      <c r="D7" s="14" t="inlineStr">
        <is>
          <t>https://faolex.fao.org/docs/pdf/mal27309.pdf</t>
        </is>
      </c>
    </row>
    <row r="8">
      <c r="A8" s="14" t="inlineStr">
        <is>
          <t>APD 2011</t>
        </is>
      </c>
      <c r="B8" s="14" t="inlineStr">
        <is>
          <t>Akta Perihal Dagangan 2011 (Akta 730)</t>
        </is>
      </c>
      <c r="C8" s="14" t="inlineStr">
        <is>
          <t>Sumber kedua: artikel jurnal Universiti Malaya yang memetik s. 28 dan s. 29.</t>
        </is>
      </c>
      <c r="D8" s="14" t="inlineStr">
        <is>
          <t>https://jier.um.edu.my/index.php/JS/article/download/6922/4584</t>
        </is>
      </c>
    </row>
    <row r="9">
      <c r="A9" s="14" t="inlineStr">
        <is>
          <t>Perintah Takrif Halal 2011</t>
        </is>
      </c>
      <c r="B9" s="14" t="inlineStr">
        <is>
          <t>Perintah Perihal Dagangan (Takrif Halal) 2011 (P.U.(A) 430/2011)</t>
        </is>
      </c>
      <c r="C9" s="14" t="inlineStr">
        <is>
          <t>Sumber kedua (artikel jurnal UM, ChemLinked dan laporan penguatkuasaan KPDN dalam media) bagi perenggan 3(1) (takrif halal) dan perenggan 4 (representasi mengelirukan, termasuk ayat al-Quran dan simbol agama).</t>
        </is>
      </c>
      <c r="D9" s="14" t="inlineStr">
        <is>
          <t>https://jier.um.edu.my/index.php/JS/article/download/6922/4584</t>
        </is>
      </c>
    </row>
    <row r="10">
      <c r="A10" s="14" t="inlineStr">
        <is>
          <t>Perintah Perakuan &amp; Penandaan Halal 2011</t>
        </is>
      </c>
      <c r="B10" s="14" t="inlineStr">
        <is>
          <t>Perintah Perihal Dagangan (Perakuan dan Penandaan Halal) 2011 (P.U.(A) 431/2011)</t>
        </is>
      </c>
      <c r="C10" s="14" t="inlineStr">
        <is>
          <t>Teks penuh warta dibaca: perenggan 2 (takrif, termasuk perkhidmatan penyajian dan peruncitan), 3 (pihak berkuasa berwibawa), 4(1) dan 4(2) (perakuan dan penandaan makanan, barang dan perkhidmatan), 5 (sijil halal luar negara) dan 6 (cara penandaan).</t>
        </is>
      </c>
      <c r="D10" s="14" t="inlineStr">
        <is>
          <t>https://login.totalweblite.com/Clients/halalfood/431wartaperakuanhalal.pdf</t>
        </is>
      </c>
    </row>
    <row r="11">
      <c r="A11" s="14" t="inlineStr">
        <is>
          <t>UUK pelesenan PBT</t>
        </is>
      </c>
      <c r="B11" s="14" t="inlineStr">
        <is>
          <t>Undang-undang kecil pelesenan premis/establisymen makanan PBT yang dibuat di bawah Akta Kerajaan Tempatan 1976 (Akta 171) s. 73, 102 dan 102A</t>
        </is>
      </c>
      <c r="C11" s="14" t="inlineStr">
        <is>
          <t>Teks penuh contoh (UUK Pelesenan Establisymen Makanan MP Taiping 2017) dibaca, termasuk uuk. 17(c) dan 40. Butiran undang-undang kecil berbeza antara PBT.</t>
        </is>
      </c>
      <c r="D11" s="14" t="inlineStr">
        <is>
          <t>https://www.mptaiping.gov.my/images/undang_undang_kecil/UNDANG-UNDANG_KECIL_PELESENAN_ESTABLISYMEN_MAKANAN_MPT_2017.pdf</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2026-10-06T08:26:41Z</dcterms:created>
  <dcterms:modified xmlns:dcterms="http://purl.org/dc/terms/" xmlns:xsi="http://www.w3.org/2001/XMLSchema-instance" xsi:type="dcterms:W3CDTF">2026-10-06T08:26:42Z</dcterms:modified>
</cp:coreProperties>
</file>